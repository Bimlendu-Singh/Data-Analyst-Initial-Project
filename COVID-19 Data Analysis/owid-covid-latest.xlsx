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ducation\Data Analyst\Project\COVID-19 Data Analysis\"/>
    </mc:Choice>
  </mc:AlternateContent>
  <xr:revisionPtr revIDLastSave="0" documentId="13_ncr:1_{A5D42B14-4225-4141-82DA-4BFE692ECF85}" xr6:coauthVersionLast="47" xr6:coauthVersionMax="47" xr10:uidLastSave="{00000000-0000-0000-0000-000000000000}"/>
  <bookViews>
    <workbookView xWindow="-108" yWindow="-108" windowWidth="23256" windowHeight="12456" activeTab="3" xr2:uid="{392E4A89-B2BB-4D54-AB93-14CE58A01069}"/>
  </bookViews>
  <sheets>
    <sheet name="Sheet2" sheetId="3" r:id="rId1"/>
    <sheet name="owid-covid-latest" sheetId="1" r:id="rId2"/>
    <sheet name="Sheet1" sheetId="2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C249" i="1"/>
</calcChain>
</file>

<file path=xl/sharedStrings.xml><?xml version="1.0" encoding="utf-8"?>
<sst xmlns="http://schemas.openxmlformats.org/spreadsheetml/2006/main" count="807" uniqueCount="572">
  <si>
    <t>iso_code</t>
  </si>
  <si>
    <t>continent</t>
  </si>
  <si>
    <t>location</t>
  </si>
  <si>
    <t>last_updated_date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</si>
  <si>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</si>
  <si>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</si>
  <si>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</si>
  <si>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</si>
  <si>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</si>
  <si>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</si>
  <si>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</si>
  <si>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</si>
  <si>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</si>
  <si>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</si>
  <si>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</si>
  <si>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</si>
  <si>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</si>
  <si>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icu_patients</t>
  </si>
  <si>
    <t>icu_patients_per_million</t>
  </si>
  <si>
    <t>hosp_patients</t>
  </si>
  <si>
    <t>hosp_patients_per_million</t>
  </si>
  <si>
    <t>weekly_icu_admissions</t>
  </si>
  <si>
    <t>weekly_icu_admissions_per_million</t>
  </si>
  <si>
    <t>weekly_hosp_admissions</t>
  </si>
  <si>
    <t>weekly_hosp_admissions_per_million</t>
  </si>
  <si>
    <t>total_tests</t>
  </si>
  <si>
    <t>new_tests</t>
  </si>
  <si>
    <t>total_tests_per_thousand</t>
  </si>
  <si>
    <t>new_tests_per_thousand</t>
  </si>
  <si>
    <t>new_tests_smoothed</t>
  </si>
  <si>
    <t>new_tests_smoothed_per_thousand</t>
  </si>
  <si>
    <t>positive_rate</t>
  </si>
  <si>
    <t>tests_per_case</t>
  </si>
  <si>
    <t>tests_units</t>
  </si>
  <si>
    <t>total_vaccinations</t>
  </si>
  <si>
    <t>people_vaccinated</t>
  </si>
  <si>
    <t>people_fully_vaccinated</t>
  </si>
  <si>
    <t>total_boosters</t>
  </si>
  <si>
    <t>new_vaccinations</t>
  </si>
  <si>
    <t>new_vaccinations_smoothed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</si>
  <si>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</si>
  <si>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</si>
  <si>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</si>
  <si>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</si>
  <si>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</si>
  <si>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new_people_vaccinated_smoothed</t>
  </si>
  <si>
    <t>new_people_vaccinated_smoothed_per_hundred</t>
  </si>
  <si>
    <t>stringency_index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</si>
  <si>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</si>
  <si>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</si>
  <si>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</si>
  <si>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</si>
  <si>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</si>
  <si>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</si>
  <si>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</si>
  <si>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</si>
  <si>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</si>
  <si>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</si>
  <si>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</si>
  <si>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</si>
  <si>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</si>
  <si>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</si>
  <si>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population</t>
  </si>
  <si>
    <t>excess_mortality_cumulative_absolute</t>
  </si>
  <si>
    <t>excess_mortality_cumulative</t>
  </si>
  <si>
    <t>excess_mortality</t>
  </si>
  <si>
    <t>excess_mortality_cumulative_per_million</t>
  </si>
  <si>
    <t>AFG</t>
  </si>
  <si>
    <t>Asia</t>
  </si>
  <si>
    <t>Afghanistan</t>
  </si>
  <si>
    <t>OWID_AFR</t>
  </si>
  <si>
    <t>Africa</t>
  </si>
  <si>
    <t>ALB</t>
  </si>
  <si>
    <t>Europe</t>
  </si>
  <si>
    <t>Albania</t>
  </si>
  <si>
    <t>DZA</t>
  </si>
  <si>
    <t>Algeria</t>
  </si>
  <si>
    <t>ASM</t>
  </si>
  <si>
    <t>Oceania</t>
  </si>
  <si>
    <t>American Samoa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</si>
  <si>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</si>
  <si>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</si>
  <si>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</si>
  <si>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</si>
  <si>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</si>
  <si>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</si>
  <si>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</si>
  <si>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</si>
  <si>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</si>
  <si>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</si>
  <si>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</si>
  <si>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</si>
  <si>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</si>
  <si>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</si>
  <si>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</si>
  <si>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</si>
  <si>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OWID_ASI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</si>
  <si>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</si>
  <si>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</si>
  <si>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</si>
  <si>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</si>
  <si>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</si>
  <si>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</si>
  <si>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</si>
  <si>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</si>
  <si>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</si>
  <si>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</si>
  <si>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</si>
  <si>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</si>
  <si>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</si>
  <si>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</si>
  <si>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</si>
  <si>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</si>
  <si>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</si>
  <si>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</si>
  <si>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</si>
  <si>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</si>
  <si>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</si>
  <si>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</si>
  <si>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</si>
  <si>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</si>
  <si>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</si>
  <si>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</si>
  <si>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</si>
  <si>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</si>
  <si>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</si>
  <si>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 Sint Eustatius and Saba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</si>
  <si>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</si>
  <si>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</si>
  <si>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</si>
  <si>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</si>
  <si>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</si>
  <si>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</si>
  <si>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</si>
  <si>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</si>
  <si>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</si>
  <si>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</si>
  <si>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</si>
  <si>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</si>
  <si>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</si>
  <si>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</si>
  <si>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</si>
  <si>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</si>
  <si>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</si>
  <si>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</si>
  <si>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</si>
  <si>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</si>
  <si>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</si>
  <si>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</si>
  <si>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</si>
  <si>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</si>
  <si>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</si>
  <si>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</si>
  <si>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</si>
  <si>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</si>
  <si>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</si>
  <si>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</si>
  <si>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</si>
  <si>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</si>
  <si>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</si>
  <si>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</si>
  <si>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</si>
  <si>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</si>
  <si>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</si>
  <si>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</si>
  <si>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</si>
  <si>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</si>
  <si>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</si>
  <si>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</si>
  <si>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</si>
  <si>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</si>
  <si>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</si>
  <si>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</si>
  <si>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</si>
  <si>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</si>
  <si>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</si>
  <si>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</si>
  <si>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</si>
  <si>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</si>
  <si>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</si>
  <si>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</si>
  <si>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</si>
  <si>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</si>
  <si>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</si>
  <si>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</si>
  <si>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</si>
  <si>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</si>
  <si>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</si>
  <si>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</si>
  <si>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</si>
  <si>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</si>
  <si>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</si>
  <si>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</si>
  <si>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TLS</t>
  </si>
  <si>
    <t>East Timor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</si>
  <si>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</si>
  <si>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</si>
  <si>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</si>
  <si>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</si>
  <si>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</si>
  <si>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</si>
  <si>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</si>
  <si>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</si>
  <si>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</si>
  <si>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</si>
  <si>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</si>
  <si>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</si>
  <si>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</si>
  <si>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</si>
  <si>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</si>
  <si>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</si>
  <si>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OWID_EUR</t>
  </si>
  <si>
    <t>OWID_EUN</t>
  </si>
  <si>
    <t>European Union (27)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</si>
  <si>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</si>
  <si>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</si>
  <si>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</si>
  <si>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</si>
  <si>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</si>
  <si>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</si>
  <si>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</si>
  <si>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</si>
  <si>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</si>
  <si>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</si>
  <si>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</si>
  <si>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</si>
  <si>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</si>
  <si>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</si>
  <si>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</si>
  <si>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</si>
  <si>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</si>
  <si>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</si>
  <si>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</si>
  <si>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</si>
  <si>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</si>
  <si>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</si>
  <si>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</si>
  <si>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</si>
  <si>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</si>
  <si>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</si>
  <si>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</si>
  <si>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</si>
  <si>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</si>
  <si>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</si>
  <si>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</si>
  <si>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</si>
  <si>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</si>
  <si>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</si>
  <si>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</si>
  <si>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</si>
  <si>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</si>
  <si>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</si>
  <si>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</si>
  <si>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</si>
  <si>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</si>
  <si>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</si>
  <si>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</si>
  <si>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</si>
  <si>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</si>
  <si>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</si>
  <si>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</si>
  <si>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</si>
  <si>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OWID_HIC</t>
  </si>
  <si>
    <t>High-income countries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</si>
  <si>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</si>
  <si>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</si>
  <si>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</si>
  <si>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</si>
  <si>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</si>
  <si>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</si>
  <si>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</si>
  <si>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</si>
  <si>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</si>
  <si>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</si>
  <si>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</si>
  <si>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</si>
  <si>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</si>
  <si>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</si>
  <si>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</si>
  <si>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</si>
  <si>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</si>
  <si>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</si>
  <si>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</si>
  <si>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</si>
  <si>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</si>
  <si>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</si>
  <si>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</si>
  <si>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</si>
  <si>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</si>
  <si>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</si>
  <si>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</si>
  <si>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</si>
  <si>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</si>
  <si>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</si>
  <si>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</si>
  <si>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</si>
  <si>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</si>
  <si>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</si>
  <si>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</si>
  <si>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</si>
  <si>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</si>
  <si>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</si>
  <si>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</si>
  <si>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</si>
  <si>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</si>
  <si>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</si>
  <si>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</si>
  <si>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</si>
  <si>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</si>
  <si>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</si>
  <si>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</si>
  <si>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</si>
  <si>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</si>
  <si>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</si>
  <si>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</si>
  <si>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</si>
  <si>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</si>
  <si>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</si>
  <si>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</si>
  <si>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</si>
  <si>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</si>
  <si>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</si>
  <si>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</si>
  <si>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</si>
  <si>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OWID_LIC</t>
  </si>
  <si>
    <t>Low-income countries</t>
  </si>
  <si>
    <t>OWID_LMC</t>
  </si>
  <si>
    <t>Lower-middle-income countries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</si>
  <si>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</si>
  <si>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</si>
  <si>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</si>
  <si>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</si>
  <si>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</si>
  <si>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</si>
  <si>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</si>
  <si>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</si>
  <si>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</si>
  <si>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</si>
  <si>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</si>
  <si>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</si>
  <si>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</si>
  <si>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</si>
  <si>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</si>
  <si>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</si>
  <si>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</si>
  <si>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</si>
  <si>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</si>
  <si>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</si>
  <si>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</si>
  <si>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</si>
  <si>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</si>
  <si>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</si>
  <si>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</si>
  <si>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</si>
  <si>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</si>
  <si>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 (country)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</si>
  <si>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</si>
  <si>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</si>
  <si>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</si>
  <si>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</si>
  <si>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</si>
  <si>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</si>
  <si>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</si>
  <si>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</si>
  <si>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</si>
  <si>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</si>
  <si>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</si>
  <si>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</si>
  <si>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</si>
  <si>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</si>
  <si>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</si>
  <si>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</si>
  <si>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</si>
  <si>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</si>
  <si>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</si>
  <si>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</si>
  <si>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</si>
  <si>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</si>
  <si>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</si>
  <si>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</si>
  <si>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</si>
  <si>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</si>
  <si>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</si>
  <si>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</si>
  <si>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</si>
  <si>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</si>
  <si>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</si>
  <si>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</si>
  <si>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</si>
  <si>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</si>
  <si>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</si>
  <si>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</si>
  <si>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OWID_NAM</t>
  </si>
  <si>
    <t>PRK</t>
  </si>
  <si>
    <t>North Korea</t>
  </si>
  <si>
    <t>MKD</t>
  </si>
  <si>
    <t>North Macedonia</t>
  </si>
  <si>
    <t>MNP</t>
  </si>
  <si>
    <t>Northern Mariana Islands</t>
  </si>
  <si>
    <t>NOR</t>
  </si>
  <si>
    <t>Norway</t>
  </si>
  <si>
    <t>OWID_OCE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</si>
  <si>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</si>
  <si>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</si>
  <si>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</si>
  <si>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</si>
  <si>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</si>
  <si>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</si>
  <si>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</si>
  <si>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</si>
  <si>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</si>
  <si>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</si>
  <si>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</si>
  <si>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</si>
  <si>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</si>
  <si>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</si>
  <si>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</si>
  <si>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</si>
  <si>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</si>
  <si>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</si>
  <si>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</si>
  <si>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</si>
  <si>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</si>
  <si>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</si>
  <si>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</si>
  <si>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</si>
  <si>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</si>
  <si>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</si>
  <si>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</si>
  <si>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</si>
  <si>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</si>
  <si>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Reunion</t>
  </si>
  <si>
    <t>ROU</t>
  </si>
  <si>
    <t>Romania</t>
  </si>
  <si>
    <t>RUS</t>
  </si>
  <si>
    <t>Russia</t>
  </si>
  <si>
    <t>RWA</t>
  </si>
  <si>
    <t>Rwanda</t>
  </si>
  <si>
    <t>BLM</t>
  </si>
  <si>
    <t>Saint Barthelemy</t>
  </si>
  <si>
    <t>SHN</t>
  </si>
  <si>
    <t>Saint Helena</t>
  </si>
  <si>
    <t>KNA</t>
  </si>
  <si>
    <t>Saint Kitts and Nevis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</si>
  <si>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</si>
  <si>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</si>
  <si>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</si>
  <si>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</si>
  <si>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</si>
  <si>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</si>
  <si>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</si>
  <si>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</si>
  <si>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</si>
  <si>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</si>
  <si>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</si>
  <si>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</si>
  <si>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</si>
  <si>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</si>
  <si>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</si>
  <si>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</si>
  <si>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</si>
  <si>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</si>
  <si>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</si>
  <si>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</si>
  <si>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</si>
  <si>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</si>
  <si>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</si>
  <si>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</si>
  <si>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</si>
  <si>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</si>
  <si>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</si>
  <si>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</si>
  <si>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</si>
  <si>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</si>
  <si>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</si>
  <si>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</si>
  <si>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</si>
  <si>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</si>
  <si>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</si>
  <si>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</si>
  <si>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</si>
  <si>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</si>
  <si>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OWID_SAM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</si>
  <si>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</si>
  <si>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</si>
  <si>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</si>
  <si>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</si>
  <si>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</si>
  <si>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</si>
  <si>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</si>
  <si>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</si>
  <si>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</si>
  <si>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</si>
  <si>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</si>
  <si>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</si>
  <si>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</si>
  <si>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</si>
  <si>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</si>
  <si>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</si>
  <si>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</si>
  <si>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</si>
  <si>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TJK</t>
  </si>
  <si>
    <t>Tajikistan</t>
  </si>
  <si>
    <t>TZA</t>
  </si>
  <si>
    <t>Tanzania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</si>
  <si>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</si>
  <si>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</si>
  <si>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</si>
  <si>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</si>
  <si>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</si>
  <si>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</si>
  <si>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</si>
  <si>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</si>
  <si>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</si>
  <si>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</si>
  <si>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</si>
  <si>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</si>
  <si>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</si>
  <si>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</si>
  <si>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</si>
  <si>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</si>
  <si>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</si>
  <si>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</si>
  <si>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</si>
  <si>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</si>
  <si>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</si>
  <si>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</si>
  <si>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</si>
  <si>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</si>
  <si>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</si>
  <si>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</si>
  <si>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</si>
  <si>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</si>
  <si>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</si>
  <si>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</si>
  <si>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VIR</t>
  </si>
  <si>
    <t>United States Virgin Islands</t>
  </si>
  <si>
    <t>OWID_UMC</t>
  </si>
  <si>
    <t>Upper-middle-income countries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</si>
  <si>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</si>
  <si>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</si>
  <si>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</si>
  <si>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</si>
  <si>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</si>
  <si>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</si>
  <si>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</si>
  <si>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</si>
  <si>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</si>
  <si>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</si>
  <si>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</si>
  <si>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Vietnam</t>
  </si>
  <si>
    <t>WLF</t>
  </si>
  <si>
    <t>Wallis and Futuna</t>
  </si>
  <si>
    <t>OWID_WRL</t>
  </si>
  <si>
    <t>World</t>
  </si>
  <si>
    <t>YEM</t>
  </si>
  <si>
    <t>Yemen</t>
  </si>
  <si>
    <t>ZMB</t>
  </si>
  <si>
    <t>Zambia</t>
  </si>
  <si>
    <t>ZWE</t>
  </si>
  <si>
    <t>Zimbabwe</t>
  </si>
  <si>
    <t xml:space="preserve">India Death Rate: </t>
  </si>
  <si>
    <t>Death_Rate_Percent</t>
  </si>
  <si>
    <t>COVID-19 Global Analysis: Data-Driven Insights</t>
  </si>
  <si>
    <t>Analysis of 240+ Countries | Data Source: Our World in Data</t>
  </si>
  <si>
    <t>KEY FINDINGS</t>
  </si>
  <si>
    <t>1. Global Impact: Top 10 countries account for over 60% of all global COVID-19 cases</t>
  </si>
  <si>
    <t>2. India's Position: Ranked 2nd globally with 45 million cases, but death rate of 1.18% was lower than USA (1.8%)</t>
  </si>
  <si>
    <t>3. Per Capita Analysis: Small nations like Cyprus and Brunei had highest cases per million population, revealing different story than raw numbers</t>
  </si>
  <si>
    <t>4. Healthcare Quality Matters: Death rates varied from &lt;1% to &gt;3%, showing healthcare infrastructure was more critical than case numbers</t>
  </si>
  <si>
    <t>5. Data Insight: Population-adjusted metrics reveal the true impact better than absolute numbers</t>
  </si>
  <si>
    <t>Analyst: Bimlendu Kumar
Date: November 20, 2025
Tools: Microsoft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</si>
</sst>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ourier New"/>
      <family val="3"/>
    </font>
    <font>
      <b/>
      <sz val="11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9"/>
      <color rgb="FF00B0F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6" fillId="0" borderId="0" xfId="0" applyFont="1"/>
    <xf numFmtId="14" fontId="16" fillId="0" borderId="0" xfId="0" applyNumberFormat="1" applyFont="1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2" fillId="0" borderId="0" xfId="0" applyFont="1" applyAlignment="1">
      <alignment wrapText="1"/>
    </xf>
    <xf numFmtId="0" fontId="19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21" fillId="35" borderId="12" xfId="0" applyFont="1" applyFill="1" applyBorder="1"/>
    <xf numFmtId="0" fontId="0" fillId="35" borderId="13" xfId="0" applyFill="1" applyBorder="1"/>
    <xf numFmtId="0" fontId="0" fillId="35" borderId="14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0" i="0" u="none" strike="noStrike" baseline="0">
                <a:effectLst/>
              </a:rPr>
              <a:t>Top 10 Countries by COVID-19 Cases</a:t>
            </a:r>
            <a:endParaRPr lang="en-IN" sz="900"/>
          </a:p>
        </c:rich>
      </c:tx>
      <c:layout>
        <c:manualLayout>
          <c:xMode val="edge"/>
          <c:yMode val="edge"/>
          <c:x val="0.22490255578517798"/>
          <c:y val="2.0703933747412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2754379539766831"/>
          <c:y val="0.13215304608663048"/>
          <c:w val="0.7067515310586176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'owid-covid-latest'!$C$9:$C$20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France</c:v>
                </c:pt>
                <c:pt idx="4">
                  <c:v>Germany</c:v>
                </c:pt>
                <c:pt idx="5">
                  <c:v>Brazil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United Kingdom</c:v>
                </c:pt>
              </c:strCache>
            </c:strRef>
          </c:cat>
          <c:val>
            <c:numRef>
              <c:f>'owid-covid-latest'!$E$9:$E$20</c:f>
              <c:numCache>
                <c:formatCode>General</c:formatCode>
                <c:ptCount val="10"/>
                <c:pt idx="0">
                  <c:v>103436829</c:v>
                </c:pt>
                <c:pt idx="1">
                  <c:v>99373219</c:v>
                </c:pt>
                <c:pt idx="2">
                  <c:v>45041748</c:v>
                </c:pt>
                <c:pt idx="3">
                  <c:v>38997490</c:v>
                </c:pt>
                <c:pt idx="4">
                  <c:v>38437756</c:v>
                </c:pt>
                <c:pt idx="5">
                  <c:v>37511921</c:v>
                </c:pt>
                <c:pt idx="6">
                  <c:v>34571873</c:v>
                </c:pt>
                <c:pt idx="7">
                  <c:v>33803572</c:v>
                </c:pt>
                <c:pt idx="8">
                  <c:v>26781078</c:v>
                </c:pt>
                <c:pt idx="9">
                  <c:v>24974629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F-4E7B-A73F-F9D91A628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2173504"/>
        <c:axId val="452173024"/>
      </c:barChart>
      <c:catAx>
        <c:axId val="45217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73024"/>
        <c:crosses val="autoZero"/>
        <c:auto val="1"/>
        <c:lblAlgn val="ctr"/>
        <c:lblOffset val="100"/>
        <c:noMultiLvlLbl val="0"/>
      </c:catAx>
      <c:valAx>
        <c:axId val="45217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7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Death_Rate_Comparison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'owid-covid-latest'!$C$9:$C$20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France</c:v>
                </c:pt>
                <c:pt idx="4">
                  <c:v>Germany</c:v>
                </c:pt>
                <c:pt idx="5">
                  <c:v>Brazil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United Kingdom</c:v>
                </c:pt>
              </c:strCache>
            </c:strRef>
          </c:cat>
          <c:val>
            <c:numRef>
              <c:f>'owid-covid-latest'!$K$9:$K$20</c:f>
              <c:numCache>
                <c:formatCode>General</c:formatCode>
                <c:ptCount val="10"/>
                <c:pt idx="0">
                  <c:v>0.90958037573313677</c:v>
                </c:pt>
                <c:pt idx="1">
                  <c:v>0.69861334913888995</c:v>
                </c:pt>
                <c:pt idx="2">
                  <c:v>1.1219116310422323</c:v>
                </c:pt>
                <c:pt idx="3">
                  <c:v>0.67967410226615776</c:v>
                </c:pt>
                <c:pt idx="4">
                  <c:v>1.3423907236431101</c:v>
                </c:pt>
                <c:pt idx="5">
                  <c:v>1.1535204738343245</c:v>
                </c:pt>
                <c:pt idx="6">
                  <c:v>0.12307541330627521</c:v>
                </c:pt>
                <c:pt idx="7">
                  <c:v>1.2919729779107907</c:v>
                </c:pt>
                <c:pt idx="8">
                  <c:v>1.9680256560228426</c:v>
                </c:pt>
                <c:pt idx="9">
                  <c:v>1.1847297755850861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0-497B-931A-4D95E97D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1597776"/>
        <c:axId val="581597296"/>
      </c:barChart>
      <c:catAx>
        <c:axId val="58159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97296"/>
        <c:crosses val="autoZero"/>
        <c:auto val="1"/>
        <c:lblAlgn val="ctr"/>
        <c:lblOffset val="100"/>
        <c:noMultiLvlLbl val="0"/>
      </c:catAx>
      <c:valAx>
        <c:axId val="58159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47069116360456"/>
          <c:y val="0.17171296296296298"/>
          <c:w val="0.7257515310586176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'owid-covid-latest'!$C$9:$C$20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France</c:v>
                </c:pt>
                <c:pt idx="4">
                  <c:v>Germany</c:v>
                </c:pt>
                <c:pt idx="5">
                  <c:v>Brazil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United Kingdom</c:v>
                </c:pt>
              </c:strCache>
            </c:strRef>
          </c:cat>
          <c:val>
            <c:numRef>
              <c:f>'owid-covid-latest'!$L$9:$L$20</c:f>
              <c:numCache>
                <c:formatCode>General</c:formatCode>
                <c:ptCount val="10"/>
                <c:pt idx="0">
                  <c:v>302859.5</c:v>
                </c:pt>
                <c:pt idx="1">
                  <c:v>69726.804999999993</c:v>
                </c:pt>
                <c:pt idx="2">
                  <c:v>31598.86</c:v>
                </c:pt>
                <c:pt idx="3">
                  <c:v>606706</c:v>
                </c:pt>
                <c:pt idx="4">
                  <c:v>457123.1</c:v>
                </c:pt>
                <c:pt idx="5">
                  <c:v>178367.94</c:v>
                </c:pt>
                <c:pt idx="6">
                  <c:v>667636.06000000006</c:v>
                </c:pt>
                <c:pt idx="7">
                  <c:v>270433.8</c:v>
                </c:pt>
                <c:pt idx="8">
                  <c:v>449202.94</c:v>
                </c:pt>
                <c:pt idx="9">
                  <c:v>366308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C-471D-B6E5-6FF0FDC1A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3680160"/>
        <c:axId val="583683040"/>
      </c:barChart>
      <c:catAx>
        <c:axId val="58368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83040"/>
        <c:crosses val="autoZero"/>
        <c:auto val="1"/>
        <c:lblAlgn val="ctr"/>
        <c:lblOffset val="100"/>
        <c:noMultiLvlLbl val="0"/>
      </c:catAx>
      <c:valAx>
        <c:axId val="58368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8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10 Countries by Cases Per Million Population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'owid-covid-latest'!$B$228:$B$237</c:f>
              <c:strCache>
                <c:ptCount val="10"/>
                <c:pt idx="0">
                  <c:v>North America</c:v>
                </c:pt>
                <c:pt idx="1">
                  <c:v>Africa</c:v>
                </c:pt>
                <c:pt idx="2">
                  <c:v>North America</c:v>
                </c:pt>
                <c:pt idx="3">
                  <c:v>Oceania</c:v>
                </c:pt>
                <c:pt idx="4">
                  <c:v>North America</c:v>
                </c:pt>
                <c:pt idx="5">
                  <c:v>Oceania</c:v>
                </c:pt>
                <c:pt idx="6">
                  <c:v>Oceania</c:v>
                </c:pt>
                <c:pt idx="7">
                  <c:v>North America</c:v>
                </c:pt>
                <c:pt idx="8">
                  <c:v>Oceania</c:v>
                </c:pt>
                <c:pt idx="9">
                  <c:v>North America</c:v>
                </c:pt>
              </c:strCache>
            </c:strRef>
          </c:cat>
          <c:val>
            <c:numRef>
              <c:f>'owid-covid-latest'!$L$228:$L$237</c:f>
              <c:numCache>
                <c:formatCode>General</c:formatCode>
                <c:ptCount val="10"/>
                <c:pt idx="0">
                  <c:v>148357.28</c:v>
                </c:pt>
                <c:pt idx="1">
                  <c:v>29918.74</c:v>
                </c:pt>
                <c:pt idx="2">
                  <c:v>141383.66</c:v>
                </c:pt>
                <c:pt idx="3">
                  <c:v>358299.6</c:v>
                </c:pt>
                <c:pt idx="4">
                  <c:v>503014.25</c:v>
                </c:pt>
                <c:pt idx="5">
                  <c:v>456221.97</c:v>
                </c:pt>
                <c:pt idx="6">
                  <c:v>38971.19</c:v>
                </c:pt>
                <c:pt idx="7">
                  <c:v>274890.88</c:v>
                </c:pt>
                <c:pt idx="8">
                  <c:v>326928.09999999998</c:v>
                </c:pt>
                <c:pt idx="9">
                  <c:v>594791.69999999995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A-40BA-9A2B-99BD0A45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483408"/>
        <c:axId val="593480528"/>
      </c:barChart>
      <c:catAx>
        <c:axId val="59348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80528"/>
        <c:crosses val="autoZero"/>
        <c:auto val="1"/>
        <c:lblAlgn val="ctr"/>
        <c:lblOffset val="100"/>
        <c:noMultiLvlLbl val="0"/>
      </c:catAx>
      <c:valAx>
        <c:axId val="59348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8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10 Countries by Cases Per Million Population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'owid-covid-latest'!$B$228:$B$237</c:f>
              <c:strCache>
                <c:ptCount val="10"/>
                <c:pt idx="0">
                  <c:v>North America</c:v>
                </c:pt>
                <c:pt idx="1">
                  <c:v>Africa</c:v>
                </c:pt>
                <c:pt idx="2">
                  <c:v>North America</c:v>
                </c:pt>
                <c:pt idx="3">
                  <c:v>Oceania</c:v>
                </c:pt>
                <c:pt idx="4">
                  <c:v>North America</c:v>
                </c:pt>
                <c:pt idx="5">
                  <c:v>Oceania</c:v>
                </c:pt>
                <c:pt idx="6">
                  <c:v>Oceania</c:v>
                </c:pt>
                <c:pt idx="7">
                  <c:v>North America</c:v>
                </c:pt>
                <c:pt idx="8">
                  <c:v>Oceania</c:v>
                </c:pt>
                <c:pt idx="9">
                  <c:v>North America</c:v>
                </c:pt>
              </c:strCache>
            </c:strRef>
          </c:cat>
          <c:val>
            <c:numRef>
              <c:f>'owid-covid-latest'!$L$228:$L$237</c:f>
              <c:numCache>
                <c:formatCode>General</c:formatCode>
                <c:ptCount val="10"/>
                <c:pt idx="0">
                  <c:v>148357.28</c:v>
                </c:pt>
                <c:pt idx="1">
                  <c:v>29918.74</c:v>
                </c:pt>
                <c:pt idx="2">
                  <c:v>141383.66</c:v>
                </c:pt>
                <c:pt idx="3">
                  <c:v>358299.6</c:v>
                </c:pt>
                <c:pt idx="4">
                  <c:v>503014.25</c:v>
                </c:pt>
                <c:pt idx="5">
                  <c:v>456221.97</c:v>
                </c:pt>
                <c:pt idx="6">
                  <c:v>38971.19</c:v>
                </c:pt>
                <c:pt idx="7">
                  <c:v>274890.88</c:v>
                </c:pt>
                <c:pt idx="8">
                  <c:v>326928.09999999998</c:v>
                </c:pt>
                <c:pt idx="9">
                  <c:v>594791.69999999995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B-43A2-98D8-B6212295F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483408"/>
        <c:axId val="593480528"/>
      </c:barChart>
      <c:catAx>
        <c:axId val="59348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80528"/>
        <c:crosses val="autoZero"/>
        <c:auto val="1"/>
        <c:lblAlgn val="ctr"/>
        <c:lblOffset val="100"/>
        <c:noMultiLvlLbl val="0"/>
      </c:catAx>
      <c:valAx>
        <c:axId val="59348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8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Top 10 Countries by </a:t>
            </a:r>
            <a:r>
              <a:rPr lang="en-IN" sz="1400" b="0" i="0" u="none" strike="noStrike" baseline="0">
                <a:effectLst/>
              </a:rPr>
              <a:t>total_cases_per_million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'owid-covid-latest'!$C$9:$C$20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France</c:v>
                </c:pt>
                <c:pt idx="4">
                  <c:v>Germany</c:v>
                </c:pt>
                <c:pt idx="5">
                  <c:v>Brazil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United Kingdom</c:v>
                </c:pt>
              </c:strCache>
            </c:strRef>
          </c:cat>
          <c:val>
            <c:numRef>
              <c:f>'owid-covid-latest'!$E$9:$E$20</c:f>
              <c:numCache>
                <c:formatCode>General</c:formatCode>
                <c:ptCount val="10"/>
                <c:pt idx="0">
                  <c:v>103436829</c:v>
                </c:pt>
                <c:pt idx="1">
                  <c:v>99373219</c:v>
                </c:pt>
                <c:pt idx="2">
                  <c:v>45041748</c:v>
                </c:pt>
                <c:pt idx="3">
                  <c:v>38997490</c:v>
                </c:pt>
                <c:pt idx="4">
                  <c:v>38437756</c:v>
                </c:pt>
                <c:pt idx="5">
                  <c:v>37511921</c:v>
                </c:pt>
                <c:pt idx="6">
                  <c:v>34571873</c:v>
                </c:pt>
                <c:pt idx="7">
                  <c:v>33803572</c:v>
                </c:pt>
                <c:pt idx="8">
                  <c:v>26781078</c:v>
                </c:pt>
                <c:pt idx="9">
                  <c:v>24974629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C-4CE6-8B7E-2F906F0FB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3882032"/>
        <c:axId val="583880592"/>
      </c:barChart>
      <c:catAx>
        <c:axId val="58388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80592"/>
        <c:crosses val="autoZero"/>
        <c:auto val="1"/>
        <c:lblAlgn val="ctr"/>
        <c:lblOffset val="100"/>
        <c:noMultiLvlLbl val="0"/>
      </c:catAx>
      <c:valAx>
        <c:axId val="5838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8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10 Countries by death rate percent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'owid-covid-latest'!$C$9:$C$20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France</c:v>
                </c:pt>
                <c:pt idx="4">
                  <c:v>Germany</c:v>
                </c:pt>
                <c:pt idx="5">
                  <c:v>Brazil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United Kingdom</c:v>
                </c:pt>
              </c:strCache>
            </c:strRef>
          </c:cat>
          <c:val>
            <c:numRef>
              <c:f>'owid-covid-latest'!$K$9:$K$20</c:f>
              <c:numCache>
                <c:formatCode>General</c:formatCode>
                <c:ptCount val="10"/>
                <c:pt idx="0">
                  <c:v>0.90958037573313677</c:v>
                </c:pt>
                <c:pt idx="1">
                  <c:v>0.69861334913888995</c:v>
                </c:pt>
                <c:pt idx="2">
                  <c:v>1.1219116310422323</c:v>
                </c:pt>
                <c:pt idx="3">
                  <c:v>0.67967410226615776</c:v>
                </c:pt>
                <c:pt idx="4">
                  <c:v>1.3423907236431101</c:v>
                </c:pt>
                <c:pt idx="5">
                  <c:v>1.1535204738343245</c:v>
                </c:pt>
                <c:pt idx="6">
                  <c:v>0.12307541330627521</c:v>
                </c:pt>
                <c:pt idx="7">
                  <c:v>1.2919729779107907</c:v>
                </c:pt>
                <c:pt idx="8">
                  <c:v>1.9680256560228426</c:v>
                </c:pt>
                <c:pt idx="9">
                  <c:v>1.1847297755850861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E-4AD7-8972-995710FDF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2570608"/>
        <c:axId val="582571568"/>
      </c:barChart>
      <c:catAx>
        <c:axId val="58257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71568"/>
        <c:crosses val="autoZero"/>
        <c:auto val="1"/>
        <c:lblAlgn val="ctr"/>
        <c:lblOffset val="100"/>
        <c:noMultiLvlLbl val="0"/>
      </c:catAx>
      <c:valAx>
        <c:axId val="58257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10 Countries by Cases Per Million Population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'owid-covid-latest'!$B$228:$B$237</c:f>
              <c:strCache>
                <c:ptCount val="10"/>
                <c:pt idx="0">
                  <c:v>North America</c:v>
                </c:pt>
                <c:pt idx="1">
                  <c:v>Africa</c:v>
                </c:pt>
                <c:pt idx="2">
                  <c:v>North America</c:v>
                </c:pt>
                <c:pt idx="3">
                  <c:v>Oceania</c:v>
                </c:pt>
                <c:pt idx="4">
                  <c:v>North America</c:v>
                </c:pt>
                <c:pt idx="5">
                  <c:v>Oceania</c:v>
                </c:pt>
                <c:pt idx="6">
                  <c:v>Oceania</c:v>
                </c:pt>
                <c:pt idx="7">
                  <c:v>North America</c:v>
                </c:pt>
                <c:pt idx="8">
                  <c:v>Oceania</c:v>
                </c:pt>
                <c:pt idx="9">
                  <c:v>North America</c:v>
                </c:pt>
              </c:strCache>
            </c:strRef>
          </c:cat>
          <c:val>
            <c:numRef>
              <c:f>'owid-covid-latest'!$L$228:$L$237</c:f>
              <c:numCache>
                <c:formatCode>General</c:formatCode>
                <c:ptCount val="10"/>
                <c:pt idx="0">
                  <c:v>148357.28</c:v>
                </c:pt>
                <c:pt idx="1">
                  <c:v>29918.74</c:v>
                </c:pt>
                <c:pt idx="2">
                  <c:v>141383.66</c:v>
                </c:pt>
                <c:pt idx="3">
                  <c:v>358299.6</c:v>
                </c:pt>
                <c:pt idx="4">
                  <c:v>503014.25</c:v>
                </c:pt>
                <c:pt idx="5">
                  <c:v>456221.97</c:v>
                </c:pt>
                <c:pt idx="6">
                  <c:v>38971.19</c:v>
                </c:pt>
                <c:pt idx="7">
                  <c:v>274890.88</c:v>
                </c:pt>
                <c:pt idx="8">
                  <c:v>326928.09999999998</c:v>
                </c:pt>
                <c:pt idx="9">
                  <c:v>594791.69999999995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3-4BAC-A4D8-A7708A073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483408"/>
        <c:axId val="593480528"/>
      </c:barChart>
      <c:catAx>
        <c:axId val="59348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80528"/>
        <c:crosses val="autoZero"/>
        <c:auto val="1"/>
        <c:lblAlgn val="ctr"/>
        <c:lblOffset val="100"/>
        <c:noMultiLvlLbl val="0"/>
      </c:catAx>
      <c:valAx>
        <c:axId val="59348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8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Top 10 Countries by </a:t>
            </a:r>
            <a:r>
              <a:rPr lang="en-IN" sz="1400" b="0" i="0" u="none" strike="noStrike" baseline="0">
                <a:effectLst/>
              </a:rPr>
              <a:t>total_cases_per_million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'owid-covid-latest'!$C$9:$C$20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France</c:v>
                </c:pt>
                <c:pt idx="4">
                  <c:v>Germany</c:v>
                </c:pt>
                <c:pt idx="5">
                  <c:v>Brazil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United Kingdom</c:v>
                </c:pt>
              </c:strCache>
            </c:strRef>
          </c:cat>
          <c:val>
            <c:numRef>
              <c:f>'owid-covid-latest'!$E$9:$E$20</c:f>
              <c:numCache>
                <c:formatCode>General</c:formatCode>
                <c:ptCount val="10"/>
                <c:pt idx="0">
                  <c:v>103436829</c:v>
                </c:pt>
                <c:pt idx="1">
                  <c:v>99373219</c:v>
                </c:pt>
                <c:pt idx="2">
                  <c:v>45041748</c:v>
                </c:pt>
                <c:pt idx="3">
                  <c:v>38997490</c:v>
                </c:pt>
                <c:pt idx="4">
                  <c:v>38437756</c:v>
                </c:pt>
                <c:pt idx="5">
                  <c:v>37511921</c:v>
                </c:pt>
                <c:pt idx="6">
                  <c:v>34571873</c:v>
                </c:pt>
                <c:pt idx="7">
                  <c:v>33803572</c:v>
                </c:pt>
                <c:pt idx="8">
                  <c:v>26781078</c:v>
                </c:pt>
                <c:pt idx="9">
                  <c:v>24974629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9-4D37-94AE-778983B0F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3882032"/>
        <c:axId val="583880592"/>
      </c:barChart>
      <c:catAx>
        <c:axId val="58388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80592"/>
        <c:crosses val="autoZero"/>
        <c:auto val="1"/>
        <c:lblAlgn val="ctr"/>
        <c:lblOffset val="100"/>
        <c:noMultiLvlLbl val="0"/>
      </c:catAx>
      <c:valAx>
        <c:axId val="5838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8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10 Countries by death rate percent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'owid-covid-latest'!$C$9:$C$20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France</c:v>
                </c:pt>
                <c:pt idx="4">
                  <c:v>Germany</c:v>
                </c:pt>
                <c:pt idx="5">
                  <c:v>Brazil</c:v>
                </c:pt>
                <c:pt idx="6">
                  <c:v>South Korea</c:v>
                </c:pt>
                <c:pt idx="7">
                  <c:v>Japan</c:v>
                </c:pt>
                <c:pt idx="8">
                  <c:v>Italy</c:v>
                </c:pt>
                <c:pt idx="9">
                  <c:v>United Kingdom</c:v>
                </c:pt>
              </c:strCache>
            </c:strRef>
          </c:cat>
          <c:val>
            <c:numRef>
              <c:f>'owid-covid-latest'!$K$9:$K$20</c:f>
              <c:numCache>
                <c:formatCode>General</c:formatCode>
                <c:ptCount val="10"/>
                <c:pt idx="0">
                  <c:v>0.90958037573313677</c:v>
                </c:pt>
                <c:pt idx="1">
                  <c:v>0.69861334913888995</c:v>
                </c:pt>
                <c:pt idx="2">
                  <c:v>1.1219116310422323</c:v>
                </c:pt>
                <c:pt idx="3">
                  <c:v>0.67967410226615776</c:v>
                </c:pt>
                <c:pt idx="4">
                  <c:v>1.3423907236431101</c:v>
                </c:pt>
                <c:pt idx="5">
                  <c:v>1.1535204738343245</c:v>
                </c:pt>
                <c:pt idx="6">
                  <c:v>0.12307541330627521</c:v>
                </c:pt>
                <c:pt idx="7">
                  <c:v>1.2919729779107907</c:v>
                </c:pt>
                <c:pt idx="8">
                  <c:v>1.9680256560228426</c:v>
                </c:pt>
                <c:pt idx="9">
                  <c:v>1.1847297755850861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F-46B3-86A1-4CC32E0E3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2570608"/>
        <c:axId val="582571568"/>
      </c:barChart>
      <c:catAx>
        <c:axId val="58257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71568"/>
        <c:crosses val="autoZero"/>
        <c:auto val="1"/>
        <c:lblAlgn val="ctr"/>
        <c:lblOffset val="100"/>
        <c:noMultiLvlLbl val="0"/>
      </c:catAx>
      <c:valAx>
        <c:axId val="58257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838200</xdr:colOff>
      <xdr:row>9</xdr:row>
      <xdr:rowOff>163830</xdr:rowOff>
    </xdr:from>
    <xdr:to>
      <xdr:col>13</xdr:col>
      <xdr:colOff>1714500</xdr:colOff>
      <xdr:row>21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716634-265B-997E-5CCA-05ABB6D10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731520</xdr:colOff>
      <xdr:row>22</xdr:row>
      <xdr:rowOff>64770</xdr:rowOff>
    </xdr:from>
    <xdr:to>
      <xdr:col>13</xdr:col>
      <xdr:colOff>1950720</xdr:colOff>
      <xdr:row>31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682450-9558-6727-AEB3-727C03A4F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1866900</xdr:colOff>
      <xdr:row>10</xdr:row>
      <xdr:rowOff>3810</xdr:rowOff>
    </xdr:from>
    <xdr:to>
      <xdr:col>16</xdr:col>
      <xdr:colOff>1303020</xdr:colOff>
      <xdr:row>27</xdr:row>
      <xdr:rowOff>3810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1F795A-1035-64F2-CA3B-B47C7D755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167640</xdr:colOff>
      <xdr:row>232</xdr:row>
      <xdr:rowOff>118110</xdr:rowOff>
    </xdr:from>
    <xdr:to>
      <xdr:col>12</xdr:col>
      <xdr:colOff>693420</xdr:colOff>
      <xdr:row>247</xdr:row>
      <xdr:rowOff>118110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F501244-8604-5A48-B1F2-97EC22F48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4BE7A-7211-4F41-938A-4AF309206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0594B-D720-42E0-8F0D-C626C9D4A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8BEB0C-74B9-4873-B629-AE7CDE7E0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3</xdr:row>
      <xdr:rowOff>0</xdr:rowOff>
    </xdr:from>
    <xdr:to>
      <xdr:col>9</xdr:col>
      <xdr:colOff>601980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89F86-2C99-47F5-B910-A1C237A67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19</xdr:col>
      <xdr:colOff>601980</xdr:colOff>
      <xdr:row>12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B1C9C8-C0A5-461B-A507-BAFAD1C80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22860</xdr:colOff>
      <xdr:row>14</xdr:row>
      <xdr:rowOff>38100</xdr:rowOff>
    </xdr:from>
    <xdr:to>
      <xdr:col>16</xdr:col>
      <xdr:colOff>7620</xdr:colOff>
      <xdr:row>23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880DE-C715-4D0D-9ABF-8120B6241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F456-CFC3-4B63-8F0E-49DDC46916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E0F9-9A3A-4411-BADD-D4DA9956CA2E}">
  <dimension ref="A1:BP249"/>
  <sheetViews>
    <sheetView workbookViewId="0">
      <pane ySplit="1" topLeftCell="A2" activePane="bottomLeft" state="frozen"/>
      <selection pane="bottomLeft" activeCell="K9" activeCellId="1" sqref="C9:C20 K9:K20"/>
    </sheetView>
  </sheetViews>
  <sheetFormatPr defaultRowHeight="14.4" x14ac:dyDescent="0.3"/>
  <cols>
    <col min="1" max="1" width="11" bestFit="1" customWidth="1"/>
    <col min="2" max="2" width="16" bestFit="1" customWidth="1"/>
    <col min="3" max="3" width="28.109375" bestFit="1" customWidth="1"/>
    <col min="4" max="4" width="16.88671875" bestFit="1" customWidth="1"/>
    <col min="5" max="5" width="10.33203125" bestFit="1" customWidth="1"/>
    <col min="6" max="6" width="10" bestFit="1" customWidth="1"/>
    <col min="7" max="7" width="19.77734375" bestFit="1" customWidth="1"/>
    <col min="8" max="8" width="11.5546875" bestFit="1" customWidth="1"/>
    <col min="9" max="9" width="11.21875" bestFit="1" customWidth="1"/>
    <col min="10" max="10" width="21" bestFit="1" customWidth="1"/>
    <col min="11" max="11" width="17" bestFit="1" customWidth="1"/>
    <col min="12" max="12" width="21" bestFit="1" customWidth="1"/>
    <col min="13" max="13" width="20.6640625" bestFit="1" customWidth="1"/>
    <col min="14" max="14" width="30.5546875" bestFit="1" customWidth="1"/>
    <col min="15" max="15" width="22.33203125" bestFit="1" customWidth="1"/>
    <col min="16" max="16" width="22" bestFit="1" customWidth="1"/>
    <col min="17" max="17" width="31.77734375" bestFit="1" customWidth="1"/>
    <col min="18" max="18" width="16.44140625" bestFit="1" customWidth="1"/>
    <col min="19" max="19" width="11.21875" bestFit="1" customWidth="1"/>
    <col min="20" max="20" width="22" bestFit="1" customWidth="1"/>
    <col min="21" max="21" width="12.88671875" bestFit="1" customWidth="1"/>
    <col min="22" max="22" width="23.6640625" bestFit="1" customWidth="1"/>
    <col min="23" max="23" width="20.77734375" bestFit="1" customWidth="1"/>
    <col min="24" max="24" width="31.5546875" bestFit="1" customWidth="1"/>
    <col min="25" max="25" width="22.5546875" bestFit="1" customWidth="1"/>
    <col min="26" max="26" width="33.21875" bestFit="1" customWidth="1"/>
    <col min="27" max="27" width="9.77734375" bestFit="1" customWidth="1"/>
    <col min="28" max="28" width="9.44140625" bestFit="1" customWidth="1"/>
    <col min="29" max="29" width="22.88671875" bestFit="1" customWidth="1"/>
    <col min="30" max="30" width="22.5546875" bestFit="1" customWidth="1"/>
    <col min="31" max="31" width="19.21875" bestFit="1" customWidth="1"/>
    <col min="32" max="32" width="32.33203125" bestFit="1" customWidth="1"/>
    <col min="33" max="33" width="11.88671875" bestFit="1" customWidth="1"/>
    <col min="34" max="34" width="13.44140625" bestFit="1" customWidth="1"/>
    <col min="35" max="35" width="10" bestFit="1" customWidth="1"/>
    <col min="36" max="36" width="16.44140625" bestFit="1" customWidth="1"/>
    <col min="37" max="37" width="17" bestFit="1" customWidth="1"/>
    <col min="38" max="38" width="21.88671875" bestFit="1" customWidth="1"/>
    <col min="39" max="39" width="13.21875" bestFit="1" customWidth="1"/>
    <col min="40" max="40" width="16.109375" bestFit="1" customWidth="1"/>
    <col min="41" max="41" width="26" bestFit="1" customWidth="1"/>
    <col min="42" max="42" width="28.77734375" bestFit="1" customWidth="1"/>
    <col min="43" max="43" width="29.33203125" bestFit="1" customWidth="1"/>
    <col min="44" max="44" width="34.21875" bestFit="1" customWidth="1"/>
    <col min="45" max="45" width="25.5546875" bestFit="1" customWidth="1"/>
    <col min="46" max="46" width="36.6640625" bestFit="1" customWidth="1"/>
    <col min="47" max="47" width="31.5546875" bestFit="1" customWidth="1"/>
    <col min="48" max="48" width="43.88671875" bestFit="1" customWidth="1"/>
    <col min="49" max="49" width="15.33203125" bestFit="1" customWidth="1"/>
    <col min="50" max="50" width="17.5546875" bestFit="1" customWidth="1"/>
    <col min="51" max="51" width="11.33203125" bestFit="1" customWidth="1"/>
    <col min="52" max="53" width="13.5546875" bestFit="1" customWidth="1"/>
    <col min="54" max="54" width="14.21875" bestFit="1" customWidth="1"/>
    <col min="55" max="55" width="15.5546875" bestFit="1" customWidth="1"/>
    <col min="56" max="56" width="20.33203125" bestFit="1" customWidth="1"/>
    <col min="57" max="57" width="18.5546875" bestFit="1" customWidth="1"/>
    <col min="58" max="58" width="14.88671875" bestFit="1" customWidth="1"/>
    <col min="59" max="59" width="13.21875" bestFit="1" customWidth="1"/>
    <col min="60" max="60" width="20.21875" bestFit="1" customWidth="1"/>
    <col min="61" max="61" width="25.88671875" bestFit="1" customWidth="1"/>
    <col min="62" max="62" width="14.21875" bestFit="1" customWidth="1"/>
    <col min="63" max="63" width="25.109375" bestFit="1" customWidth="1"/>
    <col min="64" max="64" width="11" bestFit="1" customWidth="1"/>
    <col min="65" max="65" width="34.21875" bestFit="1" customWidth="1"/>
    <col min="66" max="66" width="25.77734375" bestFit="1" customWidth="1"/>
    <col min="67" max="67" width="15.109375" bestFit="1" customWidth="1"/>
    <col min="68" max="68" width="36.44140625" bestFit="1" customWidth="1"/>
  </cols>
  <sheetData>
    <row r="1" spans="1:6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562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</row>
    <row r="2" spans="1:68" hidden="1" x14ac:dyDescent="0.3">
      <c r="A2" t="s">
        <v>553</v>
      </c>
      <c r="C2" t="s">
        <v>554</v>
      </c>
      <c r="D2" s="1">
        <v>45518</v>
      </c>
      <c r="E2">
        <v>775866783</v>
      </c>
      <c r="F2">
        <v>47169</v>
      </c>
      <c r="G2">
        <v>6738.4290000000001</v>
      </c>
      <c r="H2">
        <v>7057132</v>
      </c>
      <c r="I2">
        <v>815</v>
      </c>
      <c r="J2">
        <v>116.429</v>
      </c>
      <c r="L2">
        <v>97113.85</v>
      </c>
      <c r="M2">
        <v>5.9039999999999999</v>
      </c>
      <c r="N2">
        <v>0.84299999999999997</v>
      </c>
      <c r="O2">
        <v>883.32899999999995</v>
      </c>
      <c r="P2">
        <v>0.10199999999999999</v>
      </c>
      <c r="Q2">
        <v>1.4999999999999999E-2</v>
      </c>
      <c r="AJ2">
        <v>13578774356</v>
      </c>
      <c r="AK2">
        <v>5631263739</v>
      </c>
      <c r="AL2">
        <v>5177942957</v>
      </c>
      <c r="AM2">
        <v>2817381093</v>
      </c>
      <c r="AN2">
        <v>1452</v>
      </c>
      <c r="AO2">
        <v>1340</v>
      </c>
      <c r="AP2">
        <v>170.26</v>
      </c>
      <c r="AQ2">
        <v>70.61</v>
      </c>
      <c r="AR2">
        <v>64.930000000000007</v>
      </c>
      <c r="AS2">
        <v>35.33</v>
      </c>
      <c r="AT2">
        <v>0</v>
      </c>
      <c r="AU2">
        <v>12</v>
      </c>
      <c r="AV2">
        <v>0</v>
      </c>
      <c r="AX2">
        <v>58.045000000000002</v>
      </c>
      <c r="AY2">
        <v>30.9</v>
      </c>
      <c r="AZ2">
        <v>8.6959999999999997</v>
      </c>
      <c r="BA2">
        <v>5.3550000000000004</v>
      </c>
      <c r="BB2">
        <v>15469.207</v>
      </c>
      <c r="BC2">
        <v>10</v>
      </c>
      <c r="BD2">
        <v>233.07</v>
      </c>
      <c r="BE2">
        <v>8.51</v>
      </c>
      <c r="BF2">
        <v>6.4340000000000002</v>
      </c>
      <c r="BG2">
        <v>34.634999999999998</v>
      </c>
      <c r="BH2">
        <v>60.13</v>
      </c>
      <c r="BI2">
        <v>2.7050000000000001</v>
      </c>
      <c r="BJ2">
        <v>72.58</v>
      </c>
      <c r="BK2">
        <v>0.73699999999999999</v>
      </c>
      <c r="BL2">
        <v>7975105024</v>
      </c>
    </row>
    <row r="3" spans="1:68" hidden="1" x14ac:dyDescent="0.3">
      <c r="A3" t="s">
        <v>262</v>
      </c>
      <c r="C3" t="s">
        <v>263</v>
      </c>
      <c r="D3" s="1">
        <v>45518</v>
      </c>
      <c r="E3">
        <v>429044049</v>
      </c>
      <c r="F3">
        <v>32293</v>
      </c>
      <c r="G3">
        <v>4613.2860000000001</v>
      </c>
      <c r="H3">
        <v>2997359</v>
      </c>
      <c r="I3">
        <v>786</v>
      </c>
      <c r="J3">
        <v>112.286</v>
      </c>
      <c r="L3">
        <v>351468.5</v>
      </c>
      <c r="M3">
        <v>26.454000000000001</v>
      </c>
      <c r="N3">
        <v>3.7789999999999999</v>
      </c>
      <c r="O3">
        <v>2455.4059999999999</v>
      </c>
      <c r="P3">
        <v>0.64400000000000002</v>
      </c>
      <c r="Q3">
        <v>9.1999999999999998E-2</v>
      </c>
      <c r="AJ3">
        <v>2840880020</v>
      </c>
      <c r="AK3">
        <v>998723024</v>
      </c>
      <c r="AL3">
        <v>929255961</v>
      </c>
      <c r="AM3">
        <v>839231470</v>
      </c>
      <c r="AN3">
        <v>1421</v>
      </c>
      <c r="AO3">
        <v>1317</v>
      </c>
      <c r="AP3">
        <v>227.18</v>
      </c>
      <c r="AQ3">
        <v>79.86</v>
      </c>
      <c r="AR3">
        <v>74.31</v>
      </c>
      <c r="AS3">
        <v>67.11</v>
      </c>
      <c r="AT3">
        <v>1</v>
      </c>
      <c r="AU3">
        <v>7</v>
      </c>
      <c r="AV3">
        <v>0</v>
      </c>
      <c r="BL3">
        <v>1250514600</v>
      </c>
    </row>
    <row r="4" spans="1:68" hidden="1" x14ac:dyDescent="0.3">
      <c r="A4" t="s">
        <v>96</v>
      </c>
      <c r="C4" t="s">
        <v>68</v>
      </c>
      <c r="D4" s="1">
        <v>45518</v>
      </c>
      <c r="E4">
        <v>301499099</v>
      </c>
      <c r="F4">
        <v>4515</v>
      </c>
      <c r="G4">
        <v>645</v>
      </c>
      <c r="H4">
        <v>1637249</v>
      </c>
      <c r="I4">
        <v>17</v>
      </c>
      <c r="J4">
        <v>2.4289999999999998</v>
      </c>
      <c r="L4">
        <v>63948.2</v>
      </c>
      <c r="M4">
        <v>0.95799999999999996</v>
      </c>
      <c r="N4">
        <v>0.13700000000000001</v>
      </c>
      <c r="O4">
        <v>347.262</v>
      </c>
      <c r="P4">
        <v>4.0000000000000001E-3</v>
      </c>
      <c r="Q4">
        <v>1E-3</v>
      </c>
      <c r="AJ4">
        <v>9104304615</v>
      </c>
      <c r="AK4">
        <v>3689438947</v>
      </c>
      <c r="AL4">
        <v>3462095463</v>
      </c>
      <c r="AM4">
        <v>1815176944</v>
      </c>
      <c r="AN4">
        <v>258</v>
      </c>
      <c r="AO4">
        <v>193</v>
      </c>
      <c r="AP4">
        <v>192.83</v>
      </c>
      <c r="AQ4">
        <v>78.14</v>
      </c>
      <c r="AR4">
        <v>73.33</v>
      </c>
      <c r="AS4">
        <v>38.450000000000003</v>
      </c>
      <c r="AT4">
        <v>0</v>
      </c>
      <c r="AU4">
        <v>10</v>
      </c>
      <c r="AV4">
        <v>0</v>
      </c>
      <c r="BL4">
        <v>4721383370</v>
      </c>
    </row>
    <row r="5" spans="1:68" hidden="1" x14ac:dyDescent="0.3">
      <c r="A5" t="s">
        <v>211</v>
      </c>
      <c r="C5" t="s">
        <v>73</v>
      </c>
      <c r="D5" s="1">
        <v>45518</v>
      </c>
      <c r="E5">
        <v>252916868</v>
      </c>
      <c r="F5">
        <v>39047</v>
      </c>
      <c r="G5">
        <v>5578.143</v>
      </c>
      <c r="H5">
        <v>2102483</v>
      </c>
      <c r="I5">
        <v>162</v>
      </c>
      <c r="J5">
        <v>23.143000000000001</v>
      </c>
      <c r="L5">
        <v>337990.34</v>
      </c>
      <c r="M5">
        <v>52.180999999999997</v>
      </c>
      <c r="N5">
        <v>7.4539999999999997</v>
      </c>
      <c r="O5">
        <v>2809.694</v>
      </c>
      <c r="P5">
        <v>0.216</v>
      </c>
      <c r="Q5">
        <v>3.1E-2</v>
      </c>
      <c r="AJ5">
        <v>1399334208</v>
      </c>
      <c r="AK5">
        <v>523814328</v>
      </c>
      <c r="AL5">
        <v>493751304</v>
      </c>
      <c r="AM5">
        <v>365099941</v>
      </c>
      <c r="AN5">
        <v>64</v>
      </c>
      <c r="AO5">
        <v>17</v>
      </c>
      <c r="AP5">
        <v>187.88</v>
      </c>
      <c r="AQ5">
        <v>70.33</v>
      </c>
      <c r="AR5">
        <v>66.290000000000006</v>
      </c>
      <c r="AS5">
        <v>49.02</v>
      </c>
      <c r="AT5">
        <v>0</v>
      </c>
      <c r="AU5">
        <v>2</v>
      </c>
      <c r="AV5">
        <v>0</v>
      </c>
      <c r="BL5">
        <v>744807803</v>
      </c>
    </row>
    <row r="6" spans="1:68" hidden="1" x14ac:dyDescent="0.3">
      <c r="A6" t="s">
        <v>537</v>
      </c>
      <c r="C6" t="s">
        <v>538</v>
      </c>
      <c r="D6" s="1">
        <v>45518</v>
      </c>
      <c r="E6">
        <v>251753518</v>
      </c>
      <c r="F6">
        <v>14277</v>
      </c>
      <c r="G6">
        <v>2039.5709999999999</v>
      </c>
      <c r="H6">
        <v>2824452</v>
      </c>
      <c r="I6">
        <v>29</v>
      </c>
      <c r="J6">
        <v>4.1429999999999998</v>
      </c>
      <c r="L6">
        <v>88856.516000000003</v>
      </c>
      <c r="M6">
        <v>5.0389999999999997</v>
      </c>
      <c r="N6">
        <v>0.72</v>
      </c>
      <c r="O6">
        <v>996.89200000000005</v>
      </c>
      <c r="P6">
        <v>0.01</v>
      </c>
      <c r="Q6">
        <v>1E-3</v>
      </c>
      <c r="AJ6">
        <v>5449980941</v>
      </c>
      <c r="AK6">
        <v>2109015426</v>
      </c>
      <c r="AL6">
        <v>1990653301</v>
      </c>
      <c r="AM6">
        <v>1265984687</v>
      </c>
      <c r="AN6">
        <v>21</v>
      </c>
      <c r="AO6">
        <v>14</v>
      </c>
      <c r="AP6">
        <v>215.76</v>
      </c>
      <c r="AQ6">
        <v>83.49</v>
      </c>
      <c r="AR6">
        <v>78.81</v>
      </c>
      <c r="AS6">
        <v>50.12</v>
      </c>
      <c r="AT6">
        <v>0</v>
      </c>
      <c r="AU6">
        <v>2</v>
      </c>
      <c r="AV6">
        <v>0</v>
      </c>
      <c r="BL6">
        <v>2525921300</v>
      </c>
    </row>
    <row r="7" spans="1:68" hidden="1" x14ac:dyDescent="0.3">
      <c r="A7" t="s">
        <v>212</v>
      </c>
      <c r="C7" t="s">
        <v>213</v>
      </c>
      <c r="D7" s="1">
        <v>45518</v>
      </c>
      <c r="E7">
        <v>185822587</v>
      </c>
      <c r="F7">
        <v>25642</v>
      </c>
      <c r="G7">
        <v>3663.143</v>
      </c>
      <c r="H7">
        <v>1262988</v>
      </c>
      <c r="I7">
        <v>150</v>
      </c>
      <c r="J7">
        <v>21.428999999999998</v>
      </c>
      <c r="L7">
        <v>413754.22</v>
      </c>
      <c r="M7">
        <v>57.094999999999999</v>
      </c>
      <c r="N7">
        <v>8.1560000000000006</v>
      </c>
      <c r="O7">
        <v>2812.18</v>
      </c>
      <c r="P7">
        <v>0.33400000000000002</v>
      </c>
      <c r="Q7">
        <v>4.8000000000000001E-2</v>
      </c>
      <c r="AJ7">
        <v>951113290</v>
      </c>
      <c r="AK7">
        <v>338119562</v>
      </c>
      <c r="AL7">
        <v>327967426</v>
      </c>
      <c r="AM7">
        <v>282438789</v>
      </c>
      <c r="AN7">
        <v>64</v>
      </c>
      <c r="AO7">
        <v>17</v>
      </c>
      <c r="AP7">
        <v>211.29</v>
      </c>
      <c r="AQ7">
        <v>75.11</v>
      </c>
      <c r="AR7">
        <v>72.86</v>
      </c>
      <c r="AS7">
        <v>62.74</v>
      </c>
      <c r="AT7">
        <v>0</v>
      </c>
      <c r="AU7">
        <v>2</v>
      </c>
      <c r="AV7">
        <v>0</v>
      </c>
      <c r="BL7">
        <v>450146793</v>
      </c>
    </row>
    <row r="8" spans="1:68" hidden="1" x14ac:dyDescent="0.3">
      <c r="A8" t="s">
        <v>392</v>
      </c>
      <c r="C8" t="s">
        <v>85</v>
      </c>
      <c r="D8" s="1">
        <v>45508</v>
      </c>
      <c r="E8">
        <v>124492666</v>
      </c>
      <c r="F8">
        <v>454</v>
      </c>
      <c r="G8">
        <v>64.856999999999999</v>
      </c>
      <c r="H8">
        <v>1671178</v>
      </c>
      <c r="I8">
        <v>619</v>
      </c>
      <c r="J8">
        <v>88.429000000000002</v>
      </c>
      <c r="L8">
        <v>205992.19</v>
      </c>
      <c r="M8">
        <v>0.751</v>
      </c>
      <c r="N8">
        <v>0.107</v>
      </c>
      <c r="O8">
        <v>2765.22</v>
      </c>
      <c r="P8">
        <v>1.024</v>
      </c>
      <c r="Q8">
        <v>0.14599999999999999</v>
      </c>
      <c r="AJ8">
        <v>1158547416</v>
      </c>
      <c r="AK8">
        <v>458563506</v>
      </c>
      <c r="AL8">
        <v>394493922</v>
      </c>
      <c r="AM8">
        <v>256264817</v>
      </c>
      <c r="AN8">
        <v>442</v>
      </c>
      <c r="AO8">
        <v>442</v>
      </c>
      <c r="AP8">
        <v>192.99</v>
      </c>
      <c r="AQ8">
        <v>76.39</v>
      </c>
      <c r="AR8">
        <v>65.709999999999994</v>
      </c>
      <c r="AS8">
        <v>42.69</v>
      </c>
      <c r="AT8">
        <v>1</v>
      </c>
      <c r="AU8">
        <v>0</v>
      </c>
      <c r="AV8">
        <v>0</v>
      </c>
      <c r="BL8">
        <v>600323657</v>
      </c>
    </row>
    <row r="9" spans="1:68" x14ac:dyDescent="0.3">
      <c r="A9" t="s">
        <v>533</v>
      </c>
      <c r="B9" t="s">
        <v>85</v>
      </c>
      <c r="C9" t="s">
        <v>534</v>
      </c>
      <c r="D9" s="1">
        <v>45508</v>
      </c>
      <c r="E9">
        <v>103436829</v>
      </c>
      <c r="H9">
        <v>1193165</v>
      </c>
      <c r="I9">
        <v>619</v>
      </c>
      <c r="J9">
        <v>88.429000000000002</v>
      </c>
      <c r="K9">
        <f t="shared" ref="K9:K72" si="0">(H2/E2)*100</f>
        <v>0.90958037573313677</v>
      </c>
      <c r="L9">
        <v>302859.5</v>
      </c>
      <c r="O9">
        <v>3493.5459999999998</v>
      </c>
      <c r="P9">
        <v>1.8120000000000001</v>
      </c>
      <c r="Q9">
        <v>0.25900000000000001</v>
      </c>
      <c r="AX9">
        <v>35.607999999999997</v>
      </c>
      <c r="AY9">
        <v>38.299999999999997</v>
      </c>
      <c r="AZ9">
        <v>15.413</v>
      </c>
      <c r="BA9">
        <v>9.7319999999999993</v>
      </c>
      <c r="BB9">
        <v>54225.446000000004</v>
      </c>
      <c r="BC9">
        <v>1.2</v>
      </c>
      <c r="BD9">
        <v>151.089</v>
      </c>
      <c r="BE9">
        <v>10.79</v>
      </c>
      <c r="BF9">
        <v>19.100000000000001</v>
      </c>
      <c r="BG9">
        <v>24.6</v>
      </c>
      <c r="BI9">
        <v>2.77</v>
      </c>
      <c r="BJ9">
        <v>78.86</v>
      </c>
      <c r="BK9">
        <v>0.92600000000000005</v>
      </c>
      <c r="BL9">
        <v>338289856</v>
      </c>
    </row>
    <row r="10" spans="1:68" x14ac:dyDescent="0.3">
      <c r="A10" t="s">
        <v>159</v>
      </c>
      <c r="B10" t="s">
        <v>68</v>
      </c>
      <c r="C10" t="s">
        <v>160</v>
      </c>
      <c r="D10" s="1">
        <v>45508</v>
      </c>
      <c r="E10">
        <v>99373219</v>
      </c>
      <c r="F10">
        <v>2087</v>
      </c>
      <c r="G10">
        <v>298.14299999999997</v>
      </c>
      <c r="H10">
        <v>122304</v>
      </c>
      <c r="I10">
        <v>15</v>
      </c>
      <c r="J10">
        <v>2.1429999999999998</v>
      </c>
      <c r="K10">
        <f t="shared" si="0"/>
        <v>0.69861334913888995</v>
      </c>
      <c r="L10">
        <v>69726.804999999993</v>
      </c>
      <c r="M10">
        <v>1.464</v>
      </c>
      <c r="N10">
        <v>0.20899999999999999</v>
      </c>
      <c r="O10">
        <v>85.816999999999993</v>
      </c>
      <c r="P10">
        <v>1.0999999999999999E-2</v>
      </c>
      <c r="Q10">
        <v>2E-3</v>
      </c>
      <c r="AX10">
        <v>147.67400000000001</v>
      </c>
      <c r="AY10">
        <v>38.700000000000003</v>
      </c>
      <c r="AZ10">
        <v>10.641</v>
      </c>
      <c r="BA10">
        <v>5.9290000000000003</v>
      </c>
      <c r="BB10">
        <v>15308.712</v>
      </c>
      <c r="BC10">
        <v>0.7</v>
      </c>
      <c r="BD10">
        <v>261.899</v>
      </c>
      <c r="BE10">
        <v>9.74</v>
      </c>
      <c r="BF10">
        <v>1.9</v>
      </c>
      <c r="BG10">
        <v>48.4</v>
      </c>
      <c r="BI10">
        <v>4.34</v>
      </c>
      <c r="BJ10">
        <v>76.91</v>
      </c>
      <c r="BK10">
        <v>0.76100000000000001</v>
      </c>
      <c r="BL10">
        <v>1425887360</v>
      </c>
    </row>
    <row r="11" spans="1:68" hidden="1" x14ac:dyDescent="0.3">
      <c r="A11" t="s">
        <v>326</v>
      </c>
      <c r="C11" t="s">
        <v>327</v>
      </c>
      <c r="D11" s="1">
        <v>45516</v>
      </c>
      <c r="E11">
        <v>91954400</v>
      </c>
      <c r="F11">
        <v>598</v>
      </c>
      <c r="G11">
        <v>85.429000000000002</v>
      </c>
      <c r="H11">
        <v>1188026</v>
      </c>
      <c r="I11">
        <v>0</v>
      </c>
      <c r="J11">
        <v>0</v>
      </c>
      <c r="K11">
        <f t="shared" si="0"/>
        <v>0.54303611700013743</v>
      </c>
      <c r="L11">
        <v>28590.73</v>
      </c>
      <c r="M11">
        <v>0.186</v>
      </c>
      <c r="N11">
        <v>2.7E-2</v>
      </c>
      <c r="O11">
        <v>369.38499999999999</v>
      </c>
      <c r="P11">
        <v>0</v>
      </c>
      <c r="Q11">
        <v>0</v>
      </c>
      <c r="AJ11">
        <v>4954377376</v>
      </c>
      <c r="AK11">
        <v>2281867638</v>
      </c>
      <c r="AL11">
        <v>2053053994</v>
      </c>
      <c r="AM11">
        <v>681863964</v>
      </c>
      <c r="AN11">
        <v>10</v>
      </c>
      <c r="AO11">
        <v>9</v>
      </c>
      <c r="AP11">
        <v>144.35</v>
      </c>
      <c r="AQ11">
        <v>66.489999999999995</v>
      </c>
      <c r="AR11">
        <v>59.82</v>
      </c>
      <c r="AS11">
        <v>19.87</v>
      </c>
      <c r="AT11">
        <v>0</v>
      </c>
      <c r="AU11">
        <v>3</v>
      </c>
      <c r="AV11">
        <v>0</v>
      </c>
      <c r="BL11">
        <v>3432097300</v>
      </c>
    </row>
    <row r="12" spans="1:68" hidden="1" x14ac:dyDescent="0.3">
      <c r="A12" t="s">
        <v>482</v>
      </c>
      <c r="C12" t="s">
        <v>90</v>
      </c>
      <c r="D12" s="1">
        <v>45508</v>
      </c>
      <c r="E12">
        <v>68809418</v>
      </c>
      <c r="F12">
        <v>1308</v>
      </c>
      <c r="G12">
        <v>186.857</v>
      </c>
      <c r="H12">
        <v>1354187</v>
      </c>
      <c r="I12">
        <v>1</v>
      </c>
      <c r="J12">
        <v>0.14299999999999999</v>
      </c>
      <c r="K12">
        <f t="shared" si="0"/>
        <v>0.8312940993718142</v>
      </c>
      <c r="L12">
        <v>159838.72</v>
      </c>
      <c r="M12">
        <v>3.0379999999999998</v>
      </c>
      <c r="N12">
        <v>0.434</v>
      </c>
      <c r="O12">
        <v>3145.6669999999999</v>
      </c>
      <c r="P12">
        <v>2E-3</v>
      </c>
      <c r="Q12">
        <v>0</v>
      </c>
      <c r="BL12">
        <v>436816679</v>
      </c>
    </row>
    <row r="13" spans="1:68" x14ac:dyDescent="0.3">
      <c r="A13" s="3" t="s">
        <v>272</v>
      </c>
      <c r="B13" s="3" t="s">
        <v>68</v>
      </c>
      <c r="C13" s="3" t="s">
        <v>273</v>
      </c>
      <c r="D13" s="4">
        <v>45516</v>
      </c>
      <c r="E13" s="3">
        <v>45041748</v>
      </c>
      <c r="F13" s="3">
        <v>313</v>
      </c>
      <c r="G13" s="3">
        <v>44.713999999999999</v>
      </c>
      <c r="H13" s="3">
        <v>533623</v>
      </c>
      <c r="I13" s="3">
        <v>0</v>
      </c>
      <c r="J13" s="3">
        <v>0</v>
      </c>
      <c r="K13">
        <f t="shared" si="0"/>
        <v>1.1219116310422323</v>
      </c>
      <c r="L13" s="3">
        <v>31598.86</v>
      </c>
      <c r="M13" s="3">
        <v>0.22</v>
      </c>
      <c r="N13" s="3">
        <v>3.1E-2</v>
      </c>
      <c r="O13" s="3">
        <v>374.36099999999999</v>
      </c>
      <c r="P13" s="3">
        <v>0</v>
      </c>
      <c r="Q13" s="3">
        <v>0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>
        <v>2206868000</v>
      </c>
      <c r="AK13" s="3">
        <v>1027438924</v>
      </c>
      <c r="AL13" s="3">
        <v>951990552</v>
      </c>
      <c r="AM13" s="3">
        <v>227438524</v>
      </c>
      <c r="AN13" s="3">
        <v>7</v>
      </c>
      <c r="AO13" s="3">
        <v>8</v>
      </c>
      <c r="AP13" s="3">
        <v>155.72</v>
      </c>
      <c r="AQ13" s="3">
        <v>72.5</v>
      </c>
      <c r="AR13" s="3">
        <v>67.180000000000007</v>
      </c>
      <c r="AS13" s="3">
        <v>16.05</v>
      </c>
      <c r="AT13" s="3">
        <v>0</v>
      </c>
      <c r="AU13" s="3">
        <v>3</v>
      </c>
      <c r="AV13" s="3">
        <v>0</v>
      </c>
      <c r="AW13" s="3"/>
      <c r="AX13" s="3">
        <v>450.41899999999998</v>
      </c>
      <c r="AY13" s="3">
        <v>28.2</v>
      </c>
      <c r="AZ13" s="3">
        <v>5.9889999999999999</v>
      </c>
      <c r="BA13" s="3">
        <v>3.4140000000000001</v>
      </c>
      <c r="BB13" s="3">
        <v>6426.674</v>
      </c>
      <c r="BC13" s="3">
        <v>21.2</v>
      </c>
      <c r="BD13" s="3">
        <v>282.27999999999997</v>
      </c>
      <c r="BE13" s="3">
        <v>10.39</v>
      </c>
      <c r="BF13" s="3">
        <v>1.9</v>
      </c>
      <c r="BG13" s="3">
        <v>20.6</v>
      </c>
      <c r="BH13" s="3">
        <v>59.55</v>
      </c>
      <c r="BI13" s="3">
        <v>0.53</v>
      </c>
      <c r="BJ13" s="3">
        <v>69.66</v>
      </c>
      <c r="BK13" s="3">
        <v>0.64500000000000002</v>
      </c>
      <c r="BL13" s="3">
        <v>1417173120</v>
      </c>
      <c r="BM13" s="3"/>
      <c r="BN13" s="3"/>
      <c r="BO13" s="3"/>
      <c r="BP13" s="3"/>
    </row>
    <row r="14" spans="1:68" x14ac:dyDescent="0.3">
      <c r="A14" t="s">
        <v>222</v>
      </c>
      <c r="B14" t="s">
        <v>73</v>
      </c>
      <c r="C14" t="s">
        <v>223</v>
      </c>
      <c r="D14" s="1">
        <v>45508</v>
      </c>
      <c r="E14">
        <v>38997490</v>
      </c>
      <c r="H14">
        <v>168091</v>
      </c>
      <c r="K14">
        <f t="shared" si="0"/>
        <v>0.67967410226615776</v>
      </c>
      <c r="L14">
        <v>606706</v>
      </c>
      <c r="O14">
        <v>2615.087</v>
      </c>
      <c r="AX14">
        <v>122.578</v>
      </c>
      <c r="AY14">
        <v>42</v>
      </c>
      <c r="AZ14">
        <v>19.718</v>
      </c>
      <c r="BA14">
        <v>13.079000000000001</v>
      </c>
      <c r="BB14">
        <v>38605.671000000002</v>
      </c>
      <c r="BD14">
        <v>86.06</v>
      </c>
      <c r="BE14">
        <v>4.7699999999999996</v>
      </c>
      <c r="BF14">
        <v>30.1</v>
      </c>
      <c r="BG14">
        <v>35.6</v>
      </c>
      <c r="BI14">
        <v>5.98</v>
      </c>
      <c r="BJ14">
        <v>82.66</v>
      </c>
      <c r="BK14">
        <v>0.90100000000000002</v>
      </c>
      <c r="BL14">
        <v>67813000</v>
      </c>
    </row>
    <row r="15" spans="1:68" x14ac:dyDescent="0.3">
      <c r="A15" t="s">
        <v>234</v>
      </c>
      <c r="B15" t="s">
        <v>73</v>
      </c>
      <c r="C15" t="s">
        <v>235</v>
      </c>
      <c r="D15" s="1">
        <v>45508</v>
      </c>
      <c r="E15">
        <v>38437756</v>
      </c>
      <c r="H15">
        <v>174979</v>
      </c>
      <c r="K15">
        <f t="shared" si="0"/>
        <v>1.3423907236431101</v>
      </c>
      <c r="L15">
        <v>457123.1</v>
      </c>
      <c r="O15">
        <v>2080.9470000000001</v>
      </c>
      <c r="AX15">
        <v>237.01599999999999</v>
      </c>
      <c r="AY15">
        <v>46.6</v>
      </c>
      <c r="AZ15">
        <v>21.452999999999999</v>
      </c>
      <c r="BA15">
        <v>15.957000000000001</v>
      </c>
      <c r="BB15">
        <v>45229.245000000003</v>
      </c>
      <c r="BD15">
        <v>156.13900000000001</v>
      </c>
      <c r="BE15">
        <v>8.31</v>
      </c>
      <c r="BF15">
        <v>28.2</v>
      </c>
      <c r="BG15">
        <v>33.1</v>
      </c>
      <c r="BI15">
        <v>8</v>
      </c>
      <c r="BJ15">
        <v>81.33</v>
      </c>
      <c r="BK15">
        <v>0.94699999999999995</v>
      </c>
      <c r="BL15">
        <v>83369840</v>
      </c>
    </row>
    <row r="16" spans="1:68" x14ac:dyDescent="0.3">
      <c r="A16" t="s">
        <v>131</v>
      </c>
      <c r="B16" t="s">
        <v>90</v>
      </c>
      <c r="C16" t="s">
        <v>132</v>
      </c>
      <c r="D16" s="1">
        <v>45508</v>
      </c>
      <c r="E16">
        <v>37511921</v>
      </c>
      <c r="F16">
        <v>0</v>
      </c>
      <c r="G16">
        <v>0</v>
      </c>
      <c r="H16">
        <v>702116</v>
      </c>
      <c r="I16">
        <v>0</v>
      </c>
      <c r="J16">
        <v>0</v>
      </c>
      <c r="K16">
        <f t="shared" si="0"/>
        <v>1.1535204738343245</v>
      </c>
      <c r="L16">
        <v>178367.94</v>
      </c>
      <c r="M16">
        <v>0</v>
      </c>
      <c r="N16">
        <v>0</v>
      </c>
      <c r="O16">
        <v>3338.538</v>
      </c>
      <c r="P16">
        <v>0</v>
      </c>
      <c r="Q16">
        <v>0</v>
      </c>
      <c r="AX16">
        <v>25.04</v>
      </c>
      <c r="AY16">
        <v>33.5</v>
      </c>
      <c r="AZ16">
        <v>8.5519999999999996</v>
      </c>
      <c r="BA16">
        <v>5.0599999999999996</v>
      </c>
      <c r="BB16">
        <v>14103.451999999999</v>
      </c>
      <c r="BC16">
        <v>3.4</v>
      </c>
      <c r="BD16">
        <v>177.96100000000001</v>
      </c>
      <c r="BE16">
        <v>8.11</v>
      </c>
      <c r="BF16">
        <v>10.1</v>
      </c>
      <c r="BG16">
        <v>17.899999999999999</v>
      </c>
      <c r="BI16">
        <v>2.2000000000000002</v>
      </c>
      <c r="BJ16">
        <v>75.88</v>
      </c>
      <c r="BK16">
        <v>0.76500000000000001</v>
      </c>
      <c r="BL16">
        <v>215313504</v>
      </c>
    </row>
    <row r="17" spans="1:64" x14ac:dyDescent="0.3">
      <c r="A17" t="s">
        <v>483</v>
      </c>
      <c r="B17" t="s">
        <v>68</v>
      </c>
      <c r="C17" t="s">
        <v>484</v>
      </c>
      <c r="D17" s="1">
        <v>45508</v>
      </c>
      <c r="E17">
        <v>34571873</v>
      </c>
      <c r="F17">
        <v>0</v>
      </c>
      <c r="G17">
        <v>0</v>
      </c>
      <c r="H17">
        <v>35934</v>
      </c>
      <c r="I17">
        <v>0</v>
      </c>
      <c r="J17">
        <v>0</v>
      </c>
      <c r="K17">
        <f t="shared" si="0"/>
        <v>0.12307541330627521</v>
      </c>
      <c r="L17">
        <v>667636.06000000006</v>
      </c>
      <c r="M17">
        <v>0</v>
      </c>
      <c r="N17">
        <v>0</v>
      </c>
      <c r="O17">
        <v>693.94100000000003</v>
      </c>
      <c r="P17">
        <v>0</v>
      </c>
      <c r="Q17">
        <v>0</v>
      </c>
      <c r="AX17">
        <v>527.96699999999998</v>
      </c>
      <c r="AY17">
        <v>43.4</v>
      </c>
      <c r="AZ17">
        <v>13.914</v>
      </c>
      <c r="BA17">
        <v>8.6219999999999999</v>
      </c>
      <c r="BB17">
        <v>35938.374000000003</v>
      </c>
      <c r="BC17">
        <v>0.2</v>
      </c>
      <c r="BD17">
        <v>85.998000000000005</v>
      </c>
      <c r="BE17">
        <v>6.8</v>
      </c>
      <c r="BF17">
        <v>6.2</v>
      </c>
      <c r="BG17">
        <v>40.9</v>
      </c>
      <c r="BI17">
        <v>12.27</v>
      </c>
      <c r="BJ17">
        <v>83.03</v>
      </c>
      <c r="BK17">
        <v>0.91600000000000004</v>
      </c>
      <c r="BL17">
        <v>51815808</v>
      </c>
    </row>
    <row r="18" spans="1:64" x14ac:dyDescent="0.3">
      <c r="A18" t="s">
        <v>290</v>
      </c>
      <c r="B18" t="s">
        <v>68</v>
      </c>
      <c r="C18" t="s">
        <v>291</v>
      </c>
      <c r="D18" s="1">
        <v>45508</v>
      </c>
      <c r="E18">
        <v>33803572</v>
      </c>
      <c r="F18">
        <v>0</v>
      </c>
      <c r="G18">
        <v>0</v>
      </c>
      <c r="H18">
        <v>74694</v>
      </c>
      <c r="I18">
        <v>0</v>
      </c>
      <c r="J18">
        <v>0</v>
      </c>
      <c r="K18">
        <f t="shared" si="0"/>
        <v>1.2919729779107907</v>
      </c>
      <c r="L18">
        <v>270433.8</v>
      </c>
      <c r="M18">
        <v>0</v>
      </c>
      <c r="N18">
        <v>0</v>
      </c>
      <c r="O18">
        <v>597.56399999999996</v>
      </c>
      <c r="P18">
        <v>0</v>
      </c>
      <c r="Q18">
        <v>0</v>
      </c>
      <c r="AX18">
        <v>347.77800000000002</v>
      </c>
      <c r="AY18">
        <v>48.2</v>
      </c>
      <c r="AZ18">
        <v>27.048999999999999</v>
      </c>
      <c r="BA18">
        <v>18.492999999999999</v>
      </c>
      <c r="BB18">
        <v>39002.222999999998</v>
      </c>
      <c r="BD18">
        <v>79.37</v>
      </c>
      <c r="BE18">
        <v>5.72</v>
      </c>
      <c r="BF18">
        <v>11.2</v>
      </c>
      <c r="BG18">
        <v>33.700000000000003</v>
      </c>
      <c r="BI18">
        <v>13.05</v>
      </c>
      <c r="BJ18">
        <v>84.63</v>
      </c>
      <c r="BK18">
        <v>0.91900000000000004</v>
      </c>
      <c r="BL18">
        <v>123951696</v>
      </c>
    </row>
    <row r="19" spans="1:64" x14ac:dyDescent="0.3">
      <c r="A19" t="s">
        <v>286</v>
      </c>
      <c r="B19" t="s">
        <v>73</v>
      </c>
      <c r="C19" t="s">
        <v>287</v>
      </c>
      <c r="D19" s="1">
        <v>45511</v>
      </c>
      <c r="E19">
        <v>26781078</v>
      </c>
      <c r="F19">
        <v>6350</v>
      </c>
      <c r="G19">
        <v>907.14300000000003</v>
      </c>
      <c r="H19">
        <v>197307</v>
      </c>
      <c r="I19">
        <v>6</v>
      </c>
      <c r="J19">
        <v>0.85699999999999998</v>
      </c>
      <c r="K19">
        <f t="shared" si="0"/>
        <v>1.9680256560228426</v>
      </c>
      <c r="L19">
        <v>449202.94</v>
      </c>
      <c r="M19">
        <v>106.509</v>
      </c>
      <c r="N19">
        <v>15.215999999999999</v>
      </c>
      <c r="O19">
        <v>3309.4589999999998</v>
      </c>
      <c r="P19">
        <v>0.10100000000000001</v>
      </c>
      <c r="Q19">
        <v>1.4E-2</v>
      </c>
      <c r="S19">
        <v>50</v>
      </c>
      <c r="T19">
        <v>0.84699999999999998</v>
      </c>
      <c r="U19">
        <v>2080</v>
      </c>
      <c r="V19">
        <v>35.231999999999999</v>
      </c>
      <c r="W19">
        <v>48</v>
      </c>
      <c r="X19">
        <v>0.81299999999999994</v>
      </c>
      <c r="AX19">
        <v>205.85900000000001</v>
      </c>
      <c r="AY19">
        <v>47.9</v>
      </c>
      <c r="AZ19">
        <v>23.021000000000001</v>
      </c>
      <c r="BA19">
        <v>16.239999999999998</v>
      </c>
      <c r="BB19">
        <v>35220.084000000003</v>
      </c>
      <c r="BC19">
        <v>2</v>
      </c>
      <c r="BD19">
        <v>113.151</v>
      </c>
      <c r="BE19">
        <v>4.78</v>
      </c>
      <c r="BF19">
        <v>19.8</v>
      </c>
      <c r="BG19">
        <v>27.8</v>
      </c>
      <c r="BI19">
        <v>3.18</v>
      </c>
      <c r="BJ19">
        <v>83.51</v>
      </c>
      <c r="BK19">
        <v>0.89200000000000002</v>
      </c>
      <c r="BL19">
        <v>59037472</v>
      </c>
    </row>
    <row r="20" spans="1:64" x14ac:dyDescent="0.3">
      <c r="A20" t="s">
        <v>531</v>
      </c>
      <c r="B20" t="s">
        <v>73</v>
      </c>
      <c r="C20" t="s">
        <v>532</v>
      </c>
      <c r="D20" s="1">
        <v>45508</v>
      </c>
      <c r="E20">
        <v>24974629</v>
      </c>
      <c r="F20">
        <v>3400</v>
      </c>
      <c r="G20">
        <v>485.714</v>
      </c>
      <c r="H20">
        <v>232112</v>
      </c>
      <c r="I20">
        <v>0</v>
      </c>
      <c r="J20">
        <v>0</v>
      </c>
      <c r="K20">
        <f t="shared" si="0"/>
        <v>1.1847297755850861</v>
      </c>
      <c r="L20">
        <v>366308</v>
      </c>
      <c r="M20">
        <v>49.868000000000002</v>
      </c>
      <c r="N20">
        <v>7.1239999999999997</v>
      </c>
      <c r="O20">
        <v>3404.4340000000002</v>
      </c>
      <c r="P20">
        <v>0</v>
      </c>
      <c r="Q20">
        <v>0</v>
      </c>
      <c r="AX20">
        <v>272.89800000000002</v>
      </c>
      <c r="AY20">
        <v>40.799999999999997</v>
      </c>
      <c r="AZ20">
        <v>18.516999999999999</v>
      </c>
      <c r="BA20">
        <v>12.526999999999999</v>
      </c>
      <c r="BB20">
        <v>39753.243999999999</v>
      </c>
      <c r="BC20">
        <v>0.2</v>
      </c>
      <c r="BD20">
        <v>122.137</v>
      </c>
      <c r="BE20">
        <v>4.28</v>
      </c>
      <c r="BF20">
        <v>20</v>
      </c>
      <c r="BG20">
        <v>24.7</v>
      </c>
      <c r="BI20">
        <v>2.54</v>
      </c>
      <c r="BJ20">
        <v>81.319999999999993</v>
      </c>
      <c r="BK20">
        <v>0.93200000000000005</v>
      </c>
      <c r="BL20">
        <v>67508936</v>
      </c>
    </row>
    <row r="21" spans="1:64" x14ac:dyDescent="0.3">
      <c r="A21" t="s">
        <v>434</v>
      </c>
      <c r="B21" t="s">
        <v>73</v>
      </c>
      <c r="C21" t="s">
        <v>435</v>
      </c>
      <c r="D21" s="1">
        <v>45508</v>
      </c>
      <c r="E21">
        <v>24268728</v>
      </c>
      <c r="F21">
        <v>7777</v>
      </c>
      <c r="G21">
        <v>1111</v>
      </c>
      <c r="H21">
        <v>403188</v>
      </c>
      <c r="I21">
        <v>10</v>
      </c>
      <c r="J21">
        <v>1.429</v>
      </c>
      <c r="K21">
        <f t="shared" si="0"/>
        <v>0.43103030477089677</v>
      </c>
      <c r="L21">
        <v>166703.84</v>
      </c>
      <c r="M21">
        <v>53.420999999999999</v>
      </c>
      <c r="N21">
        <v>7.6319999999999997</v>
      </c>
      <c r="O21">
        <v>2769.5309999999999</v>
      </c>
      <c r="P21">
        <v>6.9000000000000006E-2</v>
      </c>
      <c r="Q21">
        <v>0.01</v>
      </c>
      <c r="AX21">
        <v>8.8230000000000004</v>
      </c>
      <c r="AY21">
        <v>39.6</v>
      </c>
      <c r="AZ21">
        <v>14.178000000000001</v>
      </c>
      <c r="BA21">
        <v>9.3930000000000007</v>
      </c>
      <c r="BB21">
        <v>24765.954000000002</v>
      </c>
      <c r="BC21">
        <v>0.1</v>
      </c>
      <c r="BD21">
        <v>431.29700000000003</v>
      </c>
      <c r="BE21">
        <v>6.18</v>
      </c>
      <c r="BF21">
        <v>23.4</v>
      </c>
      <c r="BG21">
        <v>58.3</v>
      </c>
      <c r="BI21">
        <v>8.0500000000000007</v>
      </c>
      <c r="BJ21">
        <v>72.58</v>
      </c>
      <c r="BK21">
        <v>0.82399999999999995</v>
      </c>
      <c r="BL21">
        <v>144713312</v>
      </c>
    </row>
    <row r="22" spans="1:64" x14ac:dyDescent="0.3">
      <c r="A22" t="s">
        <v>517</v>
      </c>
      <c r="B22" t="s">
        <v>68</v>
      </c>
      <c r="C22" t="s">
        <v>518</v>
      </c>
      <c r="D22" s="1">
        <v>45508</v>
      </c>
      <c r="E22">
        <v>17004718</v>
      </c>
      <c r="F22">
        <v>0</v>
      </c>
      <c r="G22">
        <v>0</v>
      </c>
      <c r="H22">
        <v>101419</v>
      </c>
      <c r="I22">
        <v>0</v>
      </c>
      <c r="J22">
        <v>0</v>
      </c>
      <c r="K22">
        <f t="shared" si="0"/>
        <v>0.45522688681410017</v>
      </c>
      <c r="L22">
        <v>195325.25</v>
      </c>
      <c r="M22">
        <v>0</v>
      </c>
      <c r="N22">
        <v>0</v>
      </c>
      <c r="O22">
        <v>1164.953</v>
      </c>
      <c r="P22">
        <v>0</v>
      </c>
      <c r="Q22">
        <v>0</v>
      </c>
      <c r="AX22">
        <v>104.914</v>
      </c>
      <c r="AY22">
        <v>31.6</v>
      </c>
      <c r="AZ22">
        <v>8.1530000000000005</v>
      </c>
      <c r="BA22">
        <v>5.0609999999999999</v>
      </c>
      <c r="BB22">
        <v>25129.341</v>
      </c>
      <c r="BC22">
        <v>0.2</v>
      </c>
      <c r="BD22">
        <v>171.285</v>
      </c>
      <c r="BE22">
        <v>12.13</v>
      </c>
      <c r="BF22">
        <v>14.1</v>
      </c>
      <c r="BG22">
        <v>41.1</v>
      </c>
      <c r="BI22">
        <v>2.81</v>
      </c>
      <c r="BJ22">
        <v>77.69</v>
      </c>
      <c r="BK22">
        <v>0.82</v>
      </c>
      <c r="BL22">
        <v>85341248</v>
      </c>
    </row>
    <row r="23" spans="1:64" x14ac:dyDescent="0.3">
      <c r="A23" t="s">
        <v>401</v>
      </c>
      <c r="C23" t="s">
        <v>78</v>
      </c>
      <c r="D23" s="1">
        <v>45515</v>
      </c>
      <c r="E23">
        <v>15003352</v>
      </c>
      <c r="F23">
        <v>1809</v>
      </c>
      <c r="G23">
        <v>258.42899999999997</v>
      </c>
      <c r="H23">
        <v>32918</v>
      </c>
      <c r="I23">
        <v>16</v>
      </c>
      <c r="J23">
        <v>2.286</v>
      </c>
      <c r="K23">
        <f t="shared" si="0"/>
        <v>1.8717143278266128</v>
      </c>
      <c r="L23">
        <v>333039.8</v>
      </c>
      <c r="M23">
        <v>40.155999999999999</v>
      </c>
      <c r="N23">
        <v>5.7370000000000001</v>
      </c>
      <c r="O23">
        <v>730.70399999999995</v>
      </c>
      <c r="P23">
        <v>0.35499999999999998</v>
      </c>
      <c r="Q23">
        <v>5.0999999999999997E-2</v>
      </c>
      <c r="AJ23">
        <v>88358812</v>
      </c>
      <c r="AK23">
        <v>28960501</v>
      </c>
      <c r="AL23">
        <v>28072902</v>
      </c>
      <c r="AM23">
        <v>25400951</v>
      </c>
      <c r="AN23">
        <v>1130</v>
      </c>
      <c r="AO23">
        <v>1130</v>
      </c>
      <c r="AP23">
        <v>196.18</v>
      </c>
      <c r="AQ23">
        <v>64.3</v>
      </c>
      <c r="AR23">
        <v>62.33</v>
      </c>
      <c r="AS23">
        <v>56.4</v>
      </c>
      <c r="AT23">
        <v>25</v>
      </c>
      <c r="AU23">
        <v>0</v>
      </c>
      <c r="AV23">
        <v>0</v>
      </c>
      <c r="BL23">
        <v>45038860</v>
      </c>
    </row>
    <row r="24" spans="1:64" x14ac:dyDescent="0.3">
      <c r="A24" t="s">
        <v>487</v>
      </c>
      <c r="B24" t="s">
        <v>73</v>
      </c>
      <c r="C24" t="s">
        <v>488</v>
      </c>
      <c r="D24" s="1">
        <v>45508</v>
      </c>
      <c r="E24">
        <v>13980340</v>
      </c>
      <c r="H24">
        <v>121852</v>
      </c>
      <c r="K24">
        <f t="shared" si="0"/>
        <v>0.10393998612687255</v>
      </c>
      <c r="L24">
        <v>292302.15999999997</v>
      </c>
      <c r="O24">
        <v>2547.692</v>
      </c>
      <c r="AX24">
        <v>93.105000000000004</v>
      </c>
      <c r="AY24">
        <v>45.5</v>
      </c>
      <c r="AZ24">
        <v>19.436</v>
      </c>
      <c r="BA24">
        <v>13.798999999999999</v>
      </c>
      <c r="BB24">
        <v>34272.36</v>
      </c>
      <c r="BC24">
        <v>1</v>
      </c>
      <c r="BD24">
        <v>99.403000000000006</v>
      </c>
      <c r="BE24">
        <v>7.17</v>
      </c>
      <c r="BF24">
        <v>27.4</v>
      </c>
      <c r="BG24">
        <v>31.4</v>
      </c>
      <c r="BI24">
        <v>2.97</v>
      </c>
      <c r="BJ24">
        <v>83.56</v>
      </c>
      <c r="BK24">
        <v>0.90400000000000003</v>
      </c>
      <c r="BL24">
        <v>47558632</v>
      </c>
    </row>
    <row r="25" spans="1:64" x14ac:dyDescent="0.3">
      <c r="A25" t="s">
        <v>70</v>
      </c>
      <c r="C25" t="s">
        <v>71</v>
      </c>
      <c r="D25" s="1">
        <v>45508</v>
      </c>
      <c r="E25">
        <v>13145380</v>
      </c>
      <c r="F25">
        <v>36</v>
      </c>
      <c r="G25">
        <v>5.1429999999999998</v>
      </c>
      <c r="H25">
        <v>259117</v>
      </c>
      <c r="I25">
        <v>0</v>
      </c>
      <c r="J25">
        <v>0</v>
      </c>
      <c r="K25">
        <f t="shared" si="0"/>
        <v>0.2209648140143296</v>
      </c>
      <c r="L25">
        <v>9088.8770000000004</v>
      </c>
      <c r="M25">
        <v>2.5000000000000001E-2</v>
      </c>
      <c r="N25">
        <v>4.0000000000000001E-3</v>
      </c>
      <c r="O25">
        <v>179.15700000000001</v>
      </c>
      <c r="P25">
        <v>0</v>
      </c>
      <c r="Q25">
        <v>0</v>
      </c>
      <c r="BL25">
        <v>1426736614</v>
      </c>
    </row>
    <row r="26" spans="1:64" x14ac:dyDescent="0.3">
      <c r="A26" t="s">
        <v>97</v>
      </c>
      <c r="B26" t="s">
        <v>78</v>
      </c>
      <c r="C26" t="s">
        <v>98</v>
      </c>
      <c r="D26" s="1">
        <v>45508</v>
      </c>
      <c r="E26">
        <v>11861161</v>
      </c>
      <c r="F26">
        <v>0</v>
      </c>
      <c r="G26">
        <v>0</v>
      </c>
      <c r="H26">
        <v>25236</v>
      </c>
      <c r="I26">
        <v>0</v>
      </c>
      <c r="J26">
        <v>0</v>
      </c>
      <c r="K26">
        <f t="shared" si="0"/>
        <v>0.73674032090866537</v>
      </c>
      <c r="L26">
        <v>452699</v>
      </c>
      <c r="M26">
        <v>0</v>
      </c>
      <c r="N26">
        <v>0</v>
      </c>
      <c r="O26">
        <v>963.17</v>
      </c>
      <c r="P26">
        <v>0</v>
      </c>
      <c r="Q26">
        <v>0</v>
      </c>
      <c r="AX26">
        <v>3.202</v>
      </c>
      <c r="AY26">
        <v>37.9</v>
      </c>
      <c r="AZ26">
        <v>15.504</v>
      </c>
      <c r="BA26">
        <v>10.129</v>
      </c>
      <c r="BB26">
        <v>44648.71</v>
      </c>
      <c r="BC26">
        <v>0.5</v>
      </c>
      <c r="BD26">
        <v>107.791</v>
      </c>
      <c r="BE26">
        <v>5.07</v>
      </c>
      <c r="BF26">
        <v>13</v>
      </c>
      <c r="BG26">
        <v>16.5</v>
      </c>
      <c r="BI26">
        <v>3.84</v>
      </c>
      <c r="BJ26">
        <v>83.44</v>
      </c>
      <c r="BK26">
        <v>0.94399999999999995</v>
      </c>
      <c r="BL26">
        <v>26177410</v>
      </c>
    </row>
    <row r="27" spans="1:64" x14ac:dyDescent="0.3">
      <c r="A27" t="s">
        <v>549</v>
      </c>
      <c r="B27" t="s">
        <v>68</v>
      </c>
      <c r="C27" t="s">
        <v>550</v>
      </c>
      <c r="D27" s="1">
        <v>45508</v>
      </c>
      <c r="E27">
        <v>11624000</v>
      </c>
      <c r="F27">
        <v>0</v>
      </c>
      <c r="G27">
        <v>0</v>
      </c>
      <c r="H27">
        <v>43206</v>
      </c>
      <c r="I27">
        <v>0</v>
      </c>
      <c r="J27">
        <v>0</v>
      </c>
      <c r="K27">
        <f t="shared" si="0"/>
        <v>0.92939118334850934</v>
      </c>
      <c r="L27">
        <v>116612.4</v>
      </c>
      <c r="M27">
        <v>0</v>
      </c>
      <c r="N27">
        <v>0</v>
      </c>
      <c r="O27">
        <v>433.44400000000002</v>
      </c>
      <c r="P27">
        <v>0</v>
      </c>
      <c r="Q27">
        <v>0</v>
      </c>
      <c r="AX27">
        <v>308.12700000000001</v>
      </c>
      <c r="AY27">
        <v>32.6</v>
      </c>
      <c r="AZ27">
        <v>7.15</v>
      </c>
      <c r="BA27">
        <v>4.718</v>
      </c>
      <c r="BB27">
        <v>6171.884</v>
      </c>
      <c r="BC27">
        <v>2</v>
      </c>
      <c r="BD27">
        <v>245.465</v>
      </c>
      <c r="BE27">
        <v>6</v>
      </c>
      <c r="BF27">
        <v>1</v>
      </c>
      <c r="BG27">
        <v>45.9</v>
      </c>
      <c r="BH27">
        <v>85.846999999999994</v>
      </c>
      <c r="BI27">
        <v>2.6</v>
      </c>
      <c r="BJ27">
        <v>75.400000000000006</v>
      </c>
      <c r="BK27">
        <v>0.70399999999999996</v>
      </c>
      <c r="BL27">
        <v>98186856</v>
      </c>
    </row>
    <row r="28" spans="1:64" x14ac:dyDescent="0.3">
      <c r="A28" t="s">
        <v>89</v>
      </c>
      <c r="B28" t="s">
        <v>90</v>
      </c>
      <c r="C28" t="s">
        <v>91</v>
      </c>
      <c r="D28" s="1">
        <v>45508</v>
      </c>
      <c r="E28">
        <v>10101218</v>
      </c>
      <c r="F28">
        <v>54</v>
      </c>
      <c r="G28">
        <v>7.7140000000000004</v>
      </c>
      <c r="H28">
        <v>130663</v>
      </c>
      <c r="I28">
        <v>1</v>
      </c>
      <c r="J28">
        <v>0.14299999999999999</v>
      </c>
      <c r="K28">
        <f t="shared" si="0"/>
        <v>1.6613478877014074</v>
      </c>
      <c r="L28">
        <v>222455.06</v>
      </c>
      <c r="M28">
        <v>1.1890000000000001</v>
      </c>
      <c r="N28">
        <v>0.17</v>
      </c>
      <c r="O28">
        <v>2877.538</v>
      </c>
      <c r="P28">
        <v>2.1999999999999999E-2</v>
      </c>
      <c r="Q28">
        <v>3.0000000000000001E-3</v>
      </c>
      <c r="AX28">
        <v>16.177</v>
      </c>
      <c r="AY28">
        <v>31.9</v>
      </c>
      <c r="AZ28">
        <v>11.198</v>
      </c>
      <c r="BA28">
        <v>7.4409999999999998</v>
      </c>
      <c r="BB28">
        <v>18933.906999999999</v>
      </c>
      <c r="BC28">
        <v>0.6</v>
      </c>
      <c r="BD28">
        <v>191.03200000000001</v>
      </c>
      <c r="BE28">
        <v>5.5</v>
      </c>
      <c r="BF28">
        <v>16.2</v>
      </c>
      <c r="BG28">
        <v>27.7</v>
      </c>
      <c r="BI28">
        <v>5</v>
      </c>
      <c r="BJ28">
        <v>76.67</v>
      </c>
      <c r="BK28">
        <v>0.84499999999999997</v>
      </c>
      <c r="BL28">
        <v>45510324</v>
      </c>
    </row>
    <row r="29" spans="1:64" x14ac:dyDescent="0.3">
      <c r="A29" t="s">
        <v>378</v>
      </c>
      <c r="B29" t="s">
        <v>73</v>
      </c>
      <c r="C29" t="s">
        <v>379</v>
      </c>
      <c r="D29" s="1">
        <v>45508</v>
      </c>
      <c r="E29">
        <v>8640008</v>
      </c>
      <c r="F29">
        <v>383</v>
      </c>
      <c r="G29">
        <v>54.713999999999999</v>
      </c>
      <c r="H29">
        <v>22986</v>
      </c>
      <c r="I29">
        <v>0</v>
      </c>
      <c r="J29">
        <v>0</v>
      </c>
      <c r="K29">
        <f t="shared" si="0"/>
        <v>0.59641682972925514</v>
      </c>
      <c r="L29">
        <v>482562.8</v>
      </c>
      <c r="M29">
        <v>21.390999999999998</v>
      </c>
      <c r="N29">
        <v>3.056</v>
      </c>
      <c r="O29">
        <v>1283.817</v>
      </c>
      <c r="P29">
        <v>0</v>
      </c>
      <c r="Q29">
        <v>0</v>
      </c>
      <c r="AX29">
        <v>508.54399999999998</v>
      </c>
      <c r="AY29">
        <v>43.2</v>
      </c>
      <c r="AZ29">
        <v>18.779</v>
      </c>
      <c r="BA29">
        <v>11.881</v>
      </c>
      <c r="BB29">
        <v>48472.544999999998</v>
      </c>
      <c r="BD29">
        <v>109.361</v>
      </c>
      <c r="BE29">
        <v>5.29</v>
      </c>
      <c r="BF29">
        <v>24.4</v>
      </c>
      <c r="BG29">
        <v>27.3</v>
      </c>
      <c r="BI29">
        <v>3.32</v>
      </c>
      <c r="BJ29">
        <v>82.28</v>
      </c>
      <c r="BK29">
        <v>0.94399999999999995</v>
      </c>
      <c r="BL29">
        <v>17564020</v>
      </c>
    </row>
    <row r="30" spans="1:64" x14ac:dyDescent="0.3">
      <c r="A30" t="s">
        <v>276</v>
      </c>
      <c r="B30" t="s">
        <v>68</v>
      </c>
      <c r="C30" t="s">
        <v>277</v>
      </c>
      <c r="D30" s="1">
        <v>45508</v>
      </c>
      <c r="E30">
        <v>7627863</v>
      </c>
      <c r="F30">
        <v>0</v>
      </c>
      <c r="G30">
        <v>0</v>
      </c>
      <c r="H30">
        <v>146837</v>
      </c>
      <c r="I30">
        <v>0</v>
      </c>
      <c r="J30">
        <v>0</v>
      </c>
      <c r="K30">
        <f t="shared" si="0"/>
        <v>0.21940430378491418</v>
      </c>
      <c r="L30">
        <v>85204.44</v>
      </c>
      <c r="M30">
        <v>0</v>
      </c>
      <c r="N30">
        <v>0</v>
      </c>
      <c r="O30">
        <v>1640.192</v>
      </c>
      <c r="P30">
        <v>0</v>
      </c>
      <c r="Q30">
        <v>0</v>
      </c>
      <c r="AX30">
        <v>49.831000000000003</v>
      </c>
      <c r="AY30">
        <v>32.4</v>
      </c>
      <c r="AZ30">
        <v>5.44</v>
      </c>
      <c r="BA30">
        <v>3.1819999999999999</v>
      </c>
      <c r="BB30">
        <v>19082.62</v>
      </c>
      <c r="BC30">
        <v>0.2</v>
      </c>
      <c r="BD30">
        <v>270.30799999999999</v>
      </c>
      <c r="BE30">
        <v>9.59</v>
      </c>
      <c r="BF30">
        <v>0.8</v>
      </c>
      <c r="BG30">
        <v>21.1</v>
      </c>
      <c r="BI30">
        <v>1.5</v>
      </c>
      <c r="BJ30">
        <v>76.680000000000007</v>
      </c>
      <c r="BK30">
        <v>0.78300000000000003</v>
      </c>
      <c r="BL30">
        <v>88550568</v>
      </c>
    </row>
    <row r="31" spans="1:64" x14ac:dyDescent="0.3">
      <c r="A31" t="s">
        <v>352</v>
      </c>
      <c r="B31" t="s">
        <v>85</v>
      </c>
      <c r="C31" t="s">
        <v>353</v>
      </c>
      <c r="D31" s="1">
        <v>45508</v>
      </c>
      <c r="E31">
        <v>7619458</v>
      </c>
      <c r="F31">
        <v>340</v>
      </c>
      <c r="G31">
        <v>48.570999999999998</v>
      </c>
      <c r="H31">
        <v>334551</v>
      </c>
      <c r="I31">
        <v>0</v>
      </c>
      <c r="J31">
        <v>0</v>
      </c>
      <c r="K31">
        <f t="shared" si="0"/>
        <v>0.87159539753682669</v>
      </c>
      <c r="L31">
        <v>59243.241999999998</v>
      </c>
      <c r="M31">
        <v>2.6440000000000001</v>
      </c>
      <c r="N31">
        <v>0.378</v>
      </c>
      <c r="O31">
        <v>2601.2199999999998</v>
      </c>
      <c r="P31">
        <v>0</v>
      </c>
      <c r="Q31">
        <v>0</v>
      </c>
      <c r="AX31">
        <v>66.444000000000003</v>
      </c>
      <c r="AY31">
        <v>29.3</v>
      </c>
      <c r="AZ31">
        <v>6.8570000000000002</v>
      </c>
      <c r="BA31">
        <v>4.3209999999999997</v>
      </c>
      <c r="BB31">
        <v>17336.469000000001</v>
      </c>
      <c r="BC31">
        <v>2.5</v>
      </c>
      <c r="BD31">
        <v>152.78299999999999</v>
      </c>
      <c r="BE31">
        <v>13.06</v>
      </c>
      <c r="BF31">
        <v>6.9</v>
      </c>
      <c r="BG31">
        <v>21.4</v>
      </c>
      <c r="BH31">
        <v>87.846999999999994</v>
      </c>
      <c r="BI31">
        <v>1.38</v>
      </c>
      <c r="BJ31">
        <v>75.05</v>
      </c>
      <c r="BK31">
        <v>0.77900000000000003</v>
      </c>
      <c r="BL31">
        <v>127504120</v>
      </c>
    </row>
    <row r="32" spans="1:64" x14ac:dyDescent="0.3">
      <c r="A32" t="s">
        <v>274</v>
      </c>
      <c r="B32" t="s">
        <v>68</v>
      </c>
      <c r="C32" t="s">
        <v>275</v>
      </c>
      <c r="D32" s="1">
        <v>45508</v>
      </c>
      <c r="E32">
        <v>6829399</v>
      </c>
      <c r="F32">
        <v>46</v>
      </c>
      <c r="G32">
        <v>6.5709999999999997</v>
      </c>
      <c r="H32">
        <v>162059</v>
      </c>
      <c r="I32">
        <v>0</v>
      </c>
      <c r="J32">
        <v>0</v>
      </c>
      <c r="K32">
        <f t="shared" si="0"/>
        <v>1.9711640135165358</v>
      </c>
      <c r="L32">
        <v>24493.01</v>
      </c>
      <c r="M32">
        <v>0.16500000000000001</v>
      </c>
      <c r="N32">
        <v>2.4E-2</v>
      </c>
      <c r="O32">
        <v>581.21</v>
      </c>
      <c r="P32">
        <v>0</v>
      </c>
      <c r="Q32">
        <v>0</v>
      </c>
      <c r="AX32">
        <v>145.72499999999999</v>
      </c>
      <c r="AY32">
        <v>29.3</v>
      </c>
      <c r="AZ32">
        <v>5.319</v>
      </c>
      <c r="BA32">
        <v>3.0529999999999999</v>
      </c>
      <c r="BB32">
        <v>11188.744000000001</v>
      </c>
      <c r="BC32">
        <v>5.7</v>
      </c>
      <c r="BD32">
        <v>342.86399999999998</v>
      </c>
      <c r="BE32">
        <v>6.32</v>
      </c>
      <c r="BF32">
        <v>2.8</v>
      </c>
      <c r="BG32">
        <v>76.099999999999994</v>
      </c>
      <c r="BH32">
        <v>64.203999999999994</v>
      </c>
      <c r="BI32">
        <v>1.04</v>
      </c>
      <c r="BJ32">
        <v>71.72</v>
      </c>
      <c r="BK32">
        <v>0.71799999999999997</v>
      </c>
      <c r="BL32">
        <v>275501344</v>
      </c>
    </row>
    <row r="33" spans="1:64" x14ac:dyDescent="0.3">
      <c r="A33" t="s">
        <v>422</v>
      </c>
      <c r="B33" t="s">
        <v>73</v>
      </c>
      <c r="C33" t="s">
        <v>423</v>
      </c>
      <c r="D33" s="1">
        <v>45508</v>
      </c>
      <c r="E33">
        <v>6670799</v>
      </c>
      <c r="F33">
        <v>2463</v>
      </c>
      <c r="G33">
        <v>351.85700000000003</v>
      </c>
      <c r="H33">
        <v>120726</v>
      </c>
      <c r="I33">
        <v>4</v>
      </c>
      <c r="J33">
        <v>0.57099999999999995</v>
      </c>
      <c r="K33">
        <f t="shared" si="0"/>
        <v>0.21276163437963619</v>
      </c>
      <c r="L33">
        <v>173783.28</v>
      </c>
      <c r="M33">
        <v>64.164000000000001</v>
      </c>
      <c r="N33">
        <v>9.1660000000000004</v>
      </c>
      <c r="O33">
        <v>3145.0749999999998</v>
      </c>
      <c r="P33">
        <v>0.104</v>
      </c>
      <c r="Q33">
        <v>1.4999999999999999E-2</v>
      </c>
      <c r="AX33">
        <v>124.027</v>
      </c>
      <c r="AY33">
        <v>41.8</v>
      </c>
      <c r="AZ33">
        <v>16.763000000000002</v>
      </c>
      <c r="BA33">
        <v>10.202</v>
      </c>
      <c r="BB33">
        <v>27216.445</v>
      </c>
      <c r="BD33">
        <v>227.33099999999999</v>
      </c>
      <c r="BE33">
        <v>5.91</v>
      </c>
      <c r="BF33">
        <v>23.3</v>
      </c>
      <c r="BG33">
        <v>33.1</v>
      </c>
      <c r="BI33">
        <v>6.62</v>
      </c>
      <c r="BJ33">
        <v>78.73</v>
      </c>
      <c r="BK33">
        <v>0.88</v>
      </c>
      <c r="BL33">
        <v>39857144</v>
      </c>
    </row>
    <row r="34" spans="1:64" x14ac:dyDescent="0.3">
      <c r="A34" t="s">
        <v>161</v>
      </c>
      <c r="B34" t="s">
        <v>90</v>
      </c>
      <c r="C34" t="s">
        <v>162</v>
      </c>
      <c r="D34" s="1">
        <v>45508</v>
      </c>
      <c r="E34">
        <v>6391876</v>
      </c>
      <c r="F34">
        <v>976</v>
      </c>
      <c r="G34">
        <v>139.429</v>
      </c>
      <c r="H34">
        <v>142727</v>
      </c>
      <c r="I34">
        <v>0</v>
      </c>
      <c r="J34">
        <v>0</v>
      </c>
      <c r="K34">
        <f t="shared" si="0"/>
        <v>0.37169649002064692</v>
      </c>
      <c r="L34">
        <v>123543.3</v>
      </c>
      <c r="M34">
        <v>18.864000000000001</v>
      </c>
      <c r="N34">
        <v>2.6949999999999998</v>
      </c>
      <c r="O34">
        <v>2758.652</v>
      </c>
      <c r="P34">
        <v>0</v>
      </c>
      <c r="Q34">
        <v>0</v>
      </c>
      <c r="AX34">
        <v>44.222999999999999</v>
      </c>
      <c r="AY34">
        <v>32.200000000000003</v>
      </c>
      <c r="AZ34">
        <v>7.6459999999999999</v>
      </c>
      <c r="BA34">
        <v>4.3120000000000003</v>
      </c>
      <c r="BB34">
        <v>13254.949000000001</v>
      </c>
      <c r="BC34">
        <v>4.5</v>
      </c>
      <c r="BD34">
        <v>124.24</v>
      </c>
      <c r="BE34">
        <v>7.44</v>
      </c>
      <c r="BF34">
        <v>4.7</v>
      </c>
      <c r="BG34">
        <v>13.5</v>
      </c>
      <c r="BH34">
        <v>65.385999999999996</v>
      </c>
      <c r="BI34">
        <v>1.71</v>
      </c>
      <c r="BJ34">
        <v>77.290000000000006</v>
      </c>
      <c r="BK34">
        <v>0.76700000000000002</v>
      </c>
      <c r="BL34">
        <v>51874028</v>
      </c>
    </row>
    <row r="35" spans="1:64" x14ac:dyDescent="0.3">
      <c r="A35" t="s">
        <v>99</v>
      </c>
      <c r="B35" t="s">
        <v>73</v>
      </c>
      <c r="C35" t="s">
        <v>100</v>
      </c>
      <c r="D35" s="1">
        <v>45508</v>
      </c>
      <c r="E35">
        <v>6082444</v>
      </c>
      <c r="F35">
        <v>15</v>
      </c>
      <c r="G35">
        <v>2.1429999999999998</v>
      </c>
      <c r="H35">
        <v>22534</v>
      </c>
      <c r="I35">
        <v>0</v>
      </c>
      <c r="J35">
        <v>0</v>
      </c>
      <c r="K35">
        <f t="shared" si="0"/>
        <v>1.2935370764198932</v>
      </c>
      <c r="L35">
        <v>671004.9</v>
      </c>
      <c r="M35">
        <v>1.655</v>
      </c>
      <c r="N35">
        <v>0.23599999999999999</v>
      </c>
      <c r="O35">
        <v>2485.9119999999998</v>
      </c>
      <c r="P35">
        <v>0</v>
      </c>
      <c r="Q35">
        <v>0</v>
      </c>
      <c r="AX35">
        <v>106.749</v>
      </c>
      <c r="AY35">
        <v>44.4</v>
      </c>
      <c r="AZ35">
        <v>19.202000000000002</v>
      </c>
      <c r="BA35">
        <v>13.747999999999999</v>
      </c>
      <c r="BB35">
        <v>45436.686000000002</v>
      </c>
      <c r="BC35">
        <v>0.7</v>
      </c>
      <c r="BD35">
        <v>145.18299999999999</v>
      </c>
      <c r="BE35">
        <v>6.35</v>
      </c>
      <c r="BF35">
        <v>28.4</v>
      </c>
      <c r="BG35">
        <v>30.9</v>
      </c>
      <c r="BI35">
        <v>7.37</v>
      </c>
      <c r="BJ35">
        <v>81.540000000000006</v>
      </c>
      <c r="BK35">
        <v>0.92200000000000004</v>
      </c>
      <c r="BL35">
        <v>8939617</v>
      </c>
    </row>
    <row r="36" spans="1:64" x14ac:dyDescent="0.3">
      <c r="A36" t="s">
        <v>240</v>
      </c>
      <c r="B36" t="s">
        <v>73</v>
      </c>
      <c r="C36" t="s">
        <v>241</v>
      </c>
      <c r="D36" s="1">
        <v>45508</v>
      </c>
      <c r="E36">
        <v>5673681</v>
      </c>
      <c r="F36">
        <v>5818</v>
      </c>
      <c r="G36">
        <v>831.14300000000003</v>
      </c>
      <c r="H36">
        <v>39258</v>
      </c>
      <c r="I36">
        <v>40</v>
      </c>
      <c r="J36">
        <v>5.7140000000000004</v>
      </c>
      <c r="K36">
        <f t="shared" si="0"/>
        <v>0.26604142033201822</v>
      </c>
      <c r="L36">
        <v>544892.30000000005</v>
      </c>
      <c r="M36">
        <v>558.75199999999995</v>
      </c>
      <c r="N36">
        <v>79.822000000000003</v>
      </c>
      <c r="O36">
        <v>3770.2829999999999</v>
      </c>
      <c r="P36">
        <v>3.8420000000000001</v>
      </c>
      <c r="Q36">
        <v>0.54900000000000004</v>
      </c>
      <c r="AX36">
        <v>83.478999999999999</v>
      </c>
      <c r="AY36">
        <v>45.3</v>
      </c>
      <c r="AZ36">
        <v>20.396000000000001</v>
      </c>
      <c r="BA36">
        <v>14.523999999999999</v>
      </c>
      <c r="BB36">
        <v>24574.382000000001</v>
      </c>
      <c r="BC36">
        <v>1.5</v>
      </c>
      <c r="BD36">
        <v>175.69499999999999</v>
      </c>
      <c r="BE36">
        <v>4.55</v>
      </c>
      <c r="BF36">
        <v>35.299999999999997</v>
      </c>
      <c r="BG36">
        <v>52</v>
      </c>
      <c r="BI36">
        <v>4.21</v>
      </c>
      <c r="BJ36">
        <v>82.24</v>
      </c>
      <c r="BK36">
        <v>0.88800000000000001</v>
      </c>
      <c r="BL36">
        <v>10384972</v>
      </c>
    </row>
    <row r="37" spans="1:64" x14ac:dyDescent="0.3">
      <c r="A37" t="s">
        <v>424</v>
      </c>
      <c r="B37" t="s">
        <v>73</v>
      </c>
      <c r="C37" t="s">
        <v>425</v>
      </c>
      <c r="D37" s="1">
        <v>45508</v>
      </c>
      <c r="E37">
        <v>5664109</v>
      </c>
      <c r="F37">
        <v>1055</v>
      </c>
      <c r="G37">
        <v>150.714</v>
      </c>
      <c r="H37">
        <v>28809</v>
      </c>
      <c r="I37">
        <v>50</v>
      </c>
      <c r="J37">
        <v>7.1429999999999998</v>
      </c>
      <c r="K37">
        <f t="shared" si="0"/>
        <v>1.9250083542402374</v>
      </c>
      <c r="L37">
        <v>543733.1</v>
      </c>
      <c r="M37">
        <v>101.276</v>
      </c>
      <c r="N37">
        <v>14.468</v>
      </c>
      <c r="O37">
        <v>2765.556</v>
      </c>
      <c r="P37">
        <v>4.8</v>
      </c>
      <c r="Q37">
        <v>0.68600000000000005</v>
      </c>
      <c r="AX37">
        <v>112.371</v>
      </c>
      <c r="AY37">
        <v>46.2</v>
      </c>
      <c r="AZ37">
        <v>21.501999999999999</v>
      </c>
      <c r="BA37">
        <v>14.923999999999999</v>
      </c>
      <c r="BB37">
        <v>27936.896000000001</v>
      </c>
      <c r="BC37">
        <v>0.5</v>
      </c>
      <c r="BD37">
        <v>127.842</v>
      </c>
      <c r="BE37">
        <v>9.85</v>
      </c>
      <c r="BF37">
        <v>16.3</v>
      </c>
      <c r="BG37">
        <v>30</v>
      </c>
      <c r="BI37">
        <v>3.39</v>
      </c>
      <c r="BJ37">
        <v>82.05</v>
      </c>
      <c r="BK37">
        <v>0.86399999999999999</v>
      </c>
      <c r="BL37">
        <v>10270857</v>
      </c>
    </row>
    <row r="38" spans="1:64" x14ac:dyDescent="0.3">
      <c r="A38" t="s">
        <v>527</v>
      </c>
      <c r="B38" t="s">
        <v>73</v>
      </c>
      <c r="C38" t="s">
        <v>528</v>
      </c>
      <c r="D38" s="1">
        <v>45508</v>
      </c>
      <c r="E38">
        <v>5532777</v>
      </c>
      <c r="F38">
        <v>171</v>
      </c>
      <c r="G38">
        <v>24.428999999999998</v>
      </c>
      <c r="H38">
        <v>109920</v>
      </c>
      <c r="I38">
        <v>0</v>
      </c>
      <c r="J38">
        <v>0</v>
      </c>
      <c r="K38">
        <f t="shared" si="0"/>
        <v>4.3907453784770523</v>
      </c>
      <c r="L38">
        <v>134785.47</v>
      </c>
      <c r="M38">
        <v>4.1660000000000004</v>
      </c>
      <c r="N38">
        <v>0.59499999999999997</v>
      </c>
      <c r="O38">
        <v>2677.79</v>
      </c>
      <c r="P38">
        <v>0</v>
      </c>
      <c r="Q38">
        <v>0</v>
      </c>
      <c r="AX38">
        <v>77.39</v>
      </c>
      <c r="AY38">
        <v>41.4</v>
      </c>
      <c r="AZ38">
        <v>16.462</v>
      </c>
      <c r="BA38">
        <v>11.132999999999999</v>
      </c>
      <c r="BB38">
        <v>7894.393</v>
      </c>
      <c r="BC38">
        <v>0.1</v>
      </c>
      <c r="BD38">
        <v>539.84900000000005</v>
      </c>
      <c r="BE38">
        <v>7.11</v>
      </c>
      <c r="BF38">
        <v>13.5</v>
      </c>
      <c r="BG38">
        <v>47.4</v>
      </c>
      <c r="BI38">
        <v>8.8000000000000007</v>
      </c>
      <c r="BJ38">
        <v>72.06</v>
      </c>
      <c r="BK38">
        <v>0.77900000000000003</v>
      </c>
      <c r="BL38">
        <v>39701744</v>
      </c>
    </row>
    <row r="39" spans="1:64" x14ac:dyDescent="0.3">
      <c r="A39" t="s">
        <v>157</v>
      </c>
      <c r="B39" t="s">
        <v>90</v>
      </c>
      <c r="C39" t="s">
        <v>158</v>
      </c>
      <c r="D39" s="1">
        <v>45508</v>
      </c>
      <c r="E39">
        <v>5401126</v>
      </c>
      <c r="F39">
        <v>100</v>
      </c>
      <c r="G39">
        <v>14.286</v>
      </c>
      <c r="H39">
        <v>62730</v>
      </c>
      <c r="I39">
        <v>0</v>
      </c>
      <c r="J39">
        <v>0</v>
      </c>
      <c r="K39">
        <f t="shared" si="0"/>
        <v>2.3729613689286571</v>
      </c>
      <c r="L39">
        <v>276229.59999999998</v>
      </c>
      <c r="M39">
        <v>5.1139999999999999</v>
      </c>
      <c r="N39">
        <v>0.73099999999999998</v>
      </c>
      <c r="O39">
        <v>3208.1979999999999</v>
      </c>
      <c r="P39">
        <v>0</v>
      </c>
      <c r="Q39">
        <v>0</v>
      </c>
      <c r="AX39">
        <v>24.282</v>
      </c>
      <c r="AY39">
        <v>35.4</v>
      </c>
      <c r="AZ39">
        <v>11.087</v>
      </c>
      <c r="BA39">
        <v>6.9379999999999997</v>
      </c>
      <c r="BB39">
        <v>22767.037</v>
      </c>
      <c r="BC39">
        <v>1.3</v>
      </c>
      <c r="BD39">
        <v>127.99299999999999</v>
      </c>
      <c r="BE39">
        <v>8.4600000000000009</v>
      </c>
      <c r="BF39">
        <v>34.200000000000003</v>
      </c>
      <c r="BG39">
        <v>41.5</v>
      </c>
      <c r="BI39">
        <v>2.11</v>
      </c>
      <c r="BJ39">
        <v>80.180000000000007</v>
      </c>
      <c r="BK39">
        <v>0.85099999999999998</v>
      </c>
      <c r="BL39">
        <v>19603736</v>
      </c>
    </row>
    <row r="40" spans="1:64" x14ac:dyDescent="0.3">
      <c r="A40" t="s">
        <v>334</v>
      </c>
      <c r="B40" t="s">
        <v>68</v>
      </c>
      <c r="C40" t="s">
        <v>335</v>
      </c>
      <c r="D40" s="1">
        <v>45518</v>
      </c>
      <c r="E40">
        <v>5309410</v>
      </c>
      <c r="F40">
        <v>1085</v>
      </c>
      <c r="G40">
        <v>155</v>
      </c>
      <c r="H40">
        <v>37351</v>
      </c>
      <c r="I40">
        <v>0</v>
      </c>
      <c r="J40">
        <v>0</v>
      </c>
      <c r="K40">
        <f t="shared" si="0"/>
        <v>1.8097682151718257</v>
      </c>
      <c r="L40">
        <v>153028.81</v>
      </c>
      <c r="M40">
        <v>31.271999999999998</v>
      </c>
      <c r="N40">
        <v>4.4669999999999996</v>
      </c>
      <c r="O40">
        <v>1076.538</v>
      </c>
      <c r="P40">
        <v>0</v>
      </c>
      <c r="Q40">
        <v>0</v>
      </c>
      <c r="S40">
        <v>0</v>
      </c>
      <c r="T40">
        <v>0</v>
      </c>
      <c r="U40">
        <v>24</v>
      </c>
      <c r="V40">
        <v>0.70699999999999996</v>
      </c>
      <c r="Y40">
        <v>83</v>
      </c>
      <c r="Z40">
        <v>2.4460000000000002</v>
      </c>
      <c r="AJ40">
        <v>72657288</v>
      </c>
      <c r="AK40">
        <v>28138569</v>
      </c>
      <c r="AL40">
        <v>27551144</v>
      </c>
      <c r="AM40">
        <v>17185825</v>
      </c>
      <c r="AN40">
        <v>14</v>
      </c>
      <c r="AO40">
        <v>11</v>
      </c>
      <c r="AP40">
        <v>214.09</v>
      </c>
      <c r="AQ40">
        <v>82.91</v>
      </c>
      <c r="AR40">
        <v>81.180000000000007</v>
      </c>
      <c r="AS40">
        <v>50.64</v>
      </c>
      <c r="AT40">
        <v>0</v>
      </c>
      <c r="AU40">
        <v>2</v>
      </c>
      <c r="AV40">
        <v>0</v>
      </c>
      <c r="AX40">
        <v>96.254000000000005</v>
      </c>
      <c r="AY40">
        <v>29.9</v>
      </c>
      <c r="AZ40">
        <v>6.2930000000000001</v>
      </c>
      <c r="BA40">
        <v>3.407</v>
      </c>
      <c r="BB40">
        <v>26808.164000000001</v>
      </c>
      <c r="BC40">
        <v>0.1</v>
      </c>
      <c r="BD40">
        <v>260.94200000000001</v>
      </c>
      <c r="BE40">
        <v>16.739999999999998</v>
      </c>
      <c r="BF40">
        <v>1</v>
      </c>
      <c r="BG40">
        <v>42.4</v>
      </c>
      <c r="BI40">
        <v>1.9</v>
      </c>
      <c r="BJ40">
        <v>76.16</v>
      </c>
      <c r="BK40">
        <v>0.81</v>
      </c>
      <c r="BL40">
        <v>33938216</v>
      </c>
    </row>
    <row r="41" spans="1:64" x14ac:dyDescent="0.3">
      <c r="A41" t="s">
        <v>113</v>
      </c>
      <c r="B41" t="s">
        <v>73</v>
      </c>
      <c r="C41" t="s">
        <v>114</v>
      </c>
      <c r="D41" s="1">
        <v>45508</v>
      </c>
      <c r="E41">
        <v>4872829</v>
      </c>
      <c r="F41">
        <v>1277</v>
      </c>
      <c r="G41">
        <v>182.429</v>
      </c>
      <c r="H41">
        <v>34339</v>
      </c>
      <c r="I41">
        <v>0</v>
      </c>
      <c r="J41">
        <v>0</v>
      </c>
      <c r="K41">
        <f t="shared" si="0"/>
        <v>2.2329438180590486</v>
      </c>
      <c r="L41">
        <v>418562.72</v>
      </c>
      <c r="M41">
        <v>109.691</v>
      </c>
      <c r="N41">
        <v>15.67</v>
      </c>
      <c r="O41">
        <v>2949.6260000000002</v>
      </c>
      <c r="P41">
        <v>0</v>
      </c>
      <c r="Q41">
        <v>0</v>
      </c>
      <c r="AX41">
        <v>375.56400000000002</v>
      </c>
      <c r="AY41">
        <v>41.8</v>
      </c>
      <c r="AZ41">
        <v>18.571000000000002</v>
      </c>
      <c r="BA41">
        <v>12.849</v>
      </c>
      <c r="BB41">
        <v>42658.576000000001</v>
      </c>
      <c r="BC41">
        <v>0.2</v>
      </c>
      <c r="BD41">
        <v>114.898</v>
      </c>
      <c r="BE41">
        <v>4.29</v>
      </c>
      <c r="BF41">
        <v>25.1</v>
      </c>
      <c r="BG41">
        <v>31.4</v>
      </c>
      <c r="BI41">
        <v>5.64</v>
      </c>
      <c r="BJ41">
        <v>81.63</v>
      </c>
      <c r="BK41">
        <v>0.93100000000000005</v>
      </c>
      <c r="BL41">
        <v>11655923</v>
      </c>
    </row>
    <row r="42" spans="1:64" x14ac:dyDescent="0.3">
      <c r="A42" t="s">
        <v>284</v>
      </c>
      <c r="B42" t="s">
        <v>68</v>
      </c>
      <c r="C42" t="s">
        <v>285</v>
      </c>
      <c r="D42" s="1">
        <v>45508</v>
      </c>
      <c r="E42">
        <v>4841558</v>
      </c>
      <c r="F42">
        <v>0</v>
      </c>
      <c r="G42">
        <v>0</v>
      </c>
      <c r="H42">
        <v>12707</v>
      </c>
      <c r="I42">
        <v>0</v>
      </c>
      <c r="J42">
        <v>0</v>
      </c>
      <c r="K42">
        <f t="shared" si="0"/>
        <v>0.37047607836586738</v>
      </c>
      <c r="L42">
        <v>531855.56000000006</v>
      </c>
      <c r="M42">
        <v>0</v>
      </c>
      <c r="N42">
        <v>0</v>
      </c>
      <c r="O42">
        <v>1395.8910000000001</v>
      </c>
      <c r="P42">
        <v>0</v>
      </c>
      <c r="Q42">
        <v>0</v>
      </c>
      <c r="AX42">
        <v>402.60599999999999</v>
      </c>
      <c r="AY42">
        <v>30.6</v>
      </c>
      <c r="AZ42">
        <v>11.733000000000001</v>
      </c>
      <c r="BA42">
        <v>7.359</v>
      </c>
      <c r="BB42">
        <v>33132.32</v>
      </c>
      <c r="BC42">
        <v>0.5</v>
      </c>
      <c r="BD42">
        <v>93.32</v>
      </c>
      <c r="BE42">
        <v>6.74</v>
      </c>
      <c r="BF42">
        <v>15.4</v>
      </c>
      <c r="BG42">
        <v>35.4</v>
      </c>
      <c r="BI42">
        <v>2.99</v>
      </c>
      <c r="BJ42">
        <v>82.97</v>
      </c>
      <c r="BK42">
        <v>0.91900000000000004</v>
      </c>
      <c r="BL42">
        <v>9449000</v>
      </c>
    </row>
    <row r="43" spans="1:64" x14ac:dyDescent="0.3">
      <c r="A43" t="s">
        <v>147</v>
      </c>
      <c r="B43" t="s">
        <v>85</v>
      </c>
      <c r="C43" t="s">
        <v>148</v>
      </c>
      <c r="D43" s="1">
        <v>45508</v>
      </c>
      <c r="E43">
        <v>4819055</v>
      </c>
      <c r="F43">
        <v>38</v>
      </c>
      <c r="G43">
        <v>5.4290000000000003</v>
      </c>
      <c r="H43">
        <v>55282</v>
      </c>
      <c r="I43">
        <v>0</v>
      </c>
      <c r="J43">
        <v>0</v>
      </c>
      <c r="K43">
        <f t="shared" si="0"/>
        <v>0.69193174589829776</v>
      </c>
      <c r="L43">
        <v>124134.43</v>
      </c>
      <c r="M43">
        <v>0.97899999999999998</v>
      </c>
      <c r="N43">
        <v>0.14000000000000001</v>
      </c>
      <c r="O43">
        <v>1424.0139999999999</v>
      </c>
      <c r="P43">
        <v>0</v>
      </c>
      <c r="Q43">
        <v>0</v>
      </c>
      <c r="AJ43">
        <v>102877159</v>
      </c>
      <c r="AM43">
        <v>34890285</v>
      </c>
      <c r="AO43">
        <v>442</v>
      </c>
      <c r="AP43">
        <v>267.52999999999997</v>
      </c>
      <c r="AS43">
        <v>90.73</v>
      </c>
      <c r="AT43">
        <v>11</v>
      </c>
      <c r="AX43">
        <v>4.0369999999999999</v>
      </c>
      <c r="AY43">
        <v>41.4</v>
      </c>
      <c r="AZ43">
        <v>16.984000000000002</v>
      </c>
      <c r="BA43">
        <v>10.797000000000001</v>
      </c>
      <c r="BB43">
        <v>44017.591</v>
      </c>
      <c r="BC43">
        <v>0.5</v>
      </c>
      <c r="BD43">
        <v>105.599</v>
      </c>
      <c r="BE43">
        <v>7.37</v>
      </c>
      <c r="BF43">
        <v>12</v>
      </c>
      <c r="BG43">
        <v>16.600000000000001</v>
      </c>
      <c r="BI43">
        <v>2.5</v>
      </c>
      <c r="BJ43">
        <v>82.43</v>
      </c>
      <c r="BK43">
        <v>0.92900000000000005</v>
      </c>
      <c r="BL43">
        <v>38454328</v>
      </c>
    </row>
    <row r="44" spans="1:64" x14ac:dyDescent="0.3">
      <c r="A44" t="s">
        <v>505</v>
      </c>
      <c r="B44" t="s">
        <v>68</v>
      </c>
      <c r="C44" t="s">
        <v>506</v>
      </c>
      <c r="D44" s="1">
        <v>45508</v>
      </c>
      <c r="E44">
        <v>4799180</v>
      </c>
      <c r="F44">
        <v>560</v>
      </c>
      <c r="G44">
        <v>80</v>
      </c>
      <c r="H44">
        <v>34715</v>
      </c>
      <c r="I44">
        <v>1</v>
      </c>
      <c r="J44">
        <v>0.14299999999999999</v>
      </c>
      <c r="K44">
        <f t="shared" si="0"/>
        <v>0.50862368644388734</v>
      </c>
      <c r="L44">
        <v>66901.210000000006</v>
      </c>
      <c r="M44">
        <v>7.806</v>
      </c>
      <c r="N44">
        <v>1.115</v>
      </c>
      <c r="O44">
        <v>483.93200000000002</v>
      </c>
      <c r="P44">
        <v>1.4E-2</v>
      </c>
      <c r="Q44">
        <v>2E-3</v>
      </c>
      <c r="AX44">
        <v>135.13200000000001</v>
      </c>
      <c r="AY44">
        <v>40.1</v>
      </c>
      <c r="AZ44">
        <v>11.372999999999999</v>
      </c>
      <c r="BA44">
        <v>6.89</v>
      </c>
      <c r="BB44">
        <v>16277.671</v>
      </c>
      <c r="BC44">
        <v>0.1</v>
      </c>
      <c r="BD44">
        <v>109.861</v>
      </c>
      <c r="BE44">
        <v>7.04</v>
      </c>
      <c r="BF44">
        <v>1.9</v>
      </c>
      <c r="BG44">
        <v>38.799999999999997</v>
      </c>
      <c r="BH44">
        <v>90.67</v>
      </c>
      <c r="BI44">
        <v>2.1</v>
      </c>
      <c r="BJ44">
        <v>77.150000000000006</v>
      </c>
      <c r="BK44">
        <v>0.77700000000000002</v>
      </c>
      <c r="BL44">
        <v>71697024</v>
      </c>
    </row>
    <row r="45" spans="1:64" x14ac:dyDescent="0.3">
      <c r="A45" t="s">
        <v>181</v>
      </c>
      <c r="B45" t="s">
        <v>73</v>
      </c>
      <c r="C45" t="s">
        <v>182</v>
      </c>
      <c r="D45" s="1">
        <v>45516</v>
      </c>
      <c r="E45">
        <v>4761919</v>
      </c>
      <c r="F45">
        <v>571</v>
      </c>
      <c r="G45">
        <v>81.570999999999998</v>
      </c>
      <c r="H45">
        <v>43509</v>
      </c>
      <c r="I45">
        <v>1</v>
      </c>
      <c r="J45">
        <v>0.14299999999999999</v>
      </c>
      <c r="K45">
        <f t="shared" si="0"/>
        <v>1.9867057718032013</v>
      </c>
      <c r="L45">
        <v>446155.97</v>
      </c>
      <c r="M45">
        <v>53.497999999999998</v>
      </c>
      <c r="N45">
        <v>7.6429999999999998</v>
      </c>
      <c r="O45">
        <v>4076.4659999999999</v>
      </c>
      <c r="P45">
        <v>9.4E-2</v>
      </c>
      <c r="Q45">
        <v>1.2999999999999999E-2</v>
      </c>
      <c r="S45">
        <v>4</v>
      </c>
      <c r="T45">
        <v>0.38100000000000001</v>
      </c>
      <c r="U45">
        <v>46</v>
      </c>
      <c r="V45">
        <v>4.383</v>
      </c>
      <c r="W45">
        <v>3</v>
      </c>
      <c r="X45">
        <v>0.28599999999999998</v>
      </c>
      <c r="Y45">
        <v>46</v>
      </c>
      <c r="Z45">
        <v>4.383</v>
      </c>
      <c r="AJ45">
        <v>19047108</v>
      </c>
      <c r="AK45">
        <v>6982006</v>
      </c>
      <c r="AL45">
        <v>6895763</v>
      </c>
      <c r="AM45">
        <v>5581388</v>
      </c>
      <c r="AN45">
        <v>4</v>
      </c>
      <c r="AO45">
        <v>4</v>
      </c>
      <c r="AP45">
        <v>181.5</v>
      </c>
      <c r="AQ45">
        <v>66.53</v>
      </c>
      <c r="AR45">
        <v>65.709999999999994</v>
      </c>
      <c r="AS45">
        <v>53.19</v>
      </c>
      <c r="AT45">
        <v>0</v>
      </c>
      <c r="AU45">
        <v>0</v>
      </c>
      <c r="AV45">
        <v>0</v>
      </c>
      <c r="AX45">
        <v>137.17599999999999</v>
      </c>
      <c r="AY45">
        <v>43.3</v>
      </c>
      <c r="AZ45">
        <v>19.027000000000001</v>
      </c>
      <c r="BA45">
        <v>11.58</v>
      </c>
      <c r="BB45">
        <v>32605.905999999999</v>
      </c>
      <c r="BD45">
        <v>227.48500000000001</v>
      </c>
      <c r="BE45">
        <v>6.82</v>
      </c>
      <c r="BF45">
        <v>30.5</v>
      </c>
      <c r="BG45">
        <v>38.299999999999997</v>
      </c>
      <c r="BI45">
        <v>6.63</v>
      </c>
      <c r="BJ45">
        <v>79.38</v>
      </c>
      <c r="BK45">
        <v>0.9</v>
      </c>
      <c r="BL45">
        <v>10493990</v>
      </c>
    </row>
    <row r="46" spans="1:64" x14ac:dyDescent="0.3">
      <c r="A46" t="s">
        <v>416</v>
      </c>
      <c r="B46" t="s">
        <v>90</v>
      </c>
      <c r="C46" t="s">
        <v>417</v>
      </c>
      <c r="D46" s="1">
        <v>45508</v>
      </c>
      <c r="E46">
        <v>4526977</v>
      </c>
      <c r="F46">
        <v>0</v>
      </c>
      <c r="G46">
        <v>0</v>
      </c>
      <c r="H46">
        <v>220975</v>
      </c>
      <c r="I46">
        <v>0</v>
      </c>
      <c r="J46">
        <v>0</v>
      </c>
      <c r="K46">
        <f t="shared" si="0"/>
        <v>1.161424488153026</v>
      </c>
      <c r="L46">
        <v>135232.81</v>
      </c>
      <c r="M46">
        <v>0</v>
      </c>
      <c r="N46">
        <v>0</v>
      </c>
      <c r="O46">
        <v>6601.11</v>
      </c>
      <c r="P46">
        <v>0</v>
      </c>
      <c r="Q46">
        <v>0</v>
      </c>
      <c r="AX46">
        <v>25.129000000000001</v>
      </c>
      <c r="AY46">
        <v>29.1</v>
      </c>
      <c r="AZ46">
        <v>7.1509999999999998</v>
      </c>
      <c r="BA46">
        <v>4.4550000000000001</v>
      </c>
      <c r="BB46">
        <v>12236.706</v>
      </c>
      <c r="BC46">
        <v>3.5</v>
      </c>
      <c r="BD46">
        <v>85.754999999999995</v>
      </c>
      <c r="BE46">
        <v>5.95</v>
      </c>
      <c r="BF46">
        <v>4.8</v>
      </c>
      <c r="BI46">
        <v>1.6</v>
      </c>
      <c r="BJ46">
        <v>76.739999999999995</v>
      </c>
      <c r="BK46">
        <v>0.77700000000000002</v>
      </c>
      <c r="BL46">
        <v>34049588</v>
      </c>
    </row>
    <row r="47" spans="1:64" x14ac:dyDescent="0.3">
      <c r="A47" t="s">
        <v>497</v>
      </c>
      <c r="B47" t="s">
        <v>73</v>
      </c>
      <c r="C47" t="s">
        <v>498</v>
      </c>
      <c r="D47" s="1">
        <v>45508</v>
      </c>
      <c r="E47">
        <v>4457868</v>
      </c>
      <c r="F47">
        <v>426</v>
      </c>
      <c r="G47">
        <v>60.856999999999999</v>
      </c>
      <c r="H47">
        <v>14170</v>
      </c>
      <c r="I47">
        <v>0</v>
      </c>
      <c r="J47">
        <v>0</v>
      </c>
      <c r="K47">
        <f t="shared" si="0"/>
        <v>0.70348682810331087</v>
      </c>
      <c r="L47">
        <v>507026.47</v>
      </c>
      <c r="M47">
        <v>48.451999999999998</v>
      </c>
      <c r="N47">
        <v>6.9219999999999997</v>
      </c>
      <c r="O47">
        <v>1611.6590000000001</v>
      </c>
      <c r="P47">
        <v>0</v>
      </c>
      <c r="Q47">
        <v>0</v>
      </c>
      <c r="AX47">
        <v>214.24299999999999</v>
      </c>
      <c r="AY47">
        <v>43.1</v>
      </c>
      <c r="AZ47">
        <v>18.436</v>
      </c>
      <c r="BA47">
        <v>12.644</v>
      </c>
      <c r="BB47">
        <v>57410.165999999997</v>
      </c>
      <c r="BD47">
        <v>99.739000000000004</v>
      </c>
      <c r="BE47">
        <v>5.59</v>
      </c>
      <c r="BF47">
        <v>22.6</v>
      </c>
      <c r="BG47">
        <v>28.9</v>
      </c>
      <c r="BI47">
        <v>4.53</v>
      </c>
      <c r="BJ47">
        <v>83.78</v>
      </c>
      <c r="BK47">
        <v>0.95499999999999996</v>
      </c>
      <c r="BL47">
        <v>8740471</v>
      </c>
    </row>
    <row r="48" spans="1:64" x14ac:dyDescent="0.3">
      <c r="A48" t="s">
        <v>418</v>
      </c>
      <c r="B48" t="s">
        <v>68</v>
      </c>
      <c r="C48" t="s">
        <v>419</v>
      </c>
      <c r="D48" s="1">
        <v>45508</v>
      </c>
      <c r="E48">
        <v>4140383</v>
      </c>
      <c r="F48">
        <v>0</v>
      </c>
      <c r="G48">
        <v>0</v>
      </c>
      <c r="H48">
        <v>66864</v>
      </c>
      <c r="I48">
        <v>0</v>
      </c>
      <c r="J48">
        <v>0</v>
      </c>
      <c r="K48">
        <f t="shared" si="0"/>
        <v>0.7047035715802874</v>
      </c>
      <c r="L48">
        <v>36330.51</v>
      </c>
      <c r="M48">
        <v>0</v>
      </c>
      <c r="N48">
        <v>0</v>
      </c>
      <c r="O48">
        <v>586.71</v>
      </c>
      <c r="P48">
        <v>0</v>
      </c>
      <c r="Q48">
        <v>0</v>
      </c>
      <c r="AX48">
        <v>351.87299999999999</v>
      </c>
      <c r="AY48">
        <v>25.2</v>
      </c>
      <c r="AZ48">
        <v>4.8029999999999999</v>
      </c>
      <c r="BA48">
        <v>2.661</v>
      </c>
      <c r="BB48">
        <v>7599.1880000000001</v>
      </c>
      <c r="BD48">
        <v>370.43700000000001</v>
      </c>
      <c r="BE48">
        <v>7.07</v>
      </c>
      <c r="BF48">
        <v>7.8</v>
      </c>
      <c r="BG48">
        <v>40.799999999999997</v>
      </c>
      <c r="BH48">
        <v>78.462999999999994</v>
      </c>
      <c r="BI48">
        <v>1</v>
      </c>
      <c r="BJ48">
        <v>71.23</v>
      </c>
      <c r="BK48">
        <v>0.71799999999999997</v>
      </c>
      <c r="BL48">
        <v>115559008</v>
      </c>
    </row>
    <row r="49" spans="1:64" x14ac:dyDescent="0.3">
      <c r="A49" t="s">
        <v>480</v>
      </c>
      <c r="B49" t="s">
        <v>71</v>
      </c>
      <c r="C49" t="s">
        <v>481</v>
      </c>
      <c r="D49" s="1">
        <v>45508</v>
      </c>
      <c r="E49">
        <v>4072765</v>
      </c>
      <c r="F49">
        <v>0</v>
      </c>
      <c r="G49">
        <v>0</v>
      </c>
      <c r="H49">
        <v>102595</v>
      </c>
      <c r="I49">
        <v>0</v>
      </c>
      <c r="J49">
        <v>0</v>
      </c>
      <c r="K49">
        <f t="shared" si="0"/>
        <v>0.26245683724123514</v>
      </c>
      <c r="L49">
        <v>65291.245999999999</v>
      </c>
      <c r="M49">
        <v>0</v>
      </c>
      <c r="N49">
        <v>0</v>
      </c>
      <c r="O49">
        <v>1644.72</v>
      </c>
      <c r="P49">
        <v>0</v>
      </c>
      <c r="Q49">
        <v>0</v>
      </c>
      <c r="AX49">
        <v>46.753999999999998</v>
      </c>
      <c r="AY49">
        <v>27.3</v>
      </c>
      <c r="AZ49">
        <v>5.3440000000000003</v>
      </c>
      <c r="BA49">
        <v>3.0529999999999999</v>
      </c>
      <c r="BB49">
        <v>12294.876</v>
      </c>
      <c r="BC49">
        <v>18.899999999999999</v>
      </c>
      <c r="BD49">
        <v>200.38</v>
      </c>
      <c r="BE49">
        <v>5.52</v>
      </c>
      <c r="BF49">
        <v>8.1</v>
      </c>
      <c r="BG49">
        <v>33.200000000000003</v>
      </c>
      <c r="BH49">
        <v>43.993000000000002</v>
      </c>
      <c r="BI49">
        <v>2.3199999999999998</v>
      </c>
      <c r="BJ49">
        <v>64.13</v>
      </c>
      <c r="BK49">
        <v>0.70899999999999996</v>
      </c>
      <c r="BL49">
        <v>59893884</v>
      </c>
    </row>
    <row r="50" spans="1:64" x14ac:dyDescent="0.3">
      <c r="A50" t="s">
        <v>432</v>
      </c>
      <c r="B50" t="s">
        <v>73</v>
      </c>
      <c r="C50" t="s">
        <v>433</v>
      </c>
      <c r="D50" s="1">
        <v>45508</v>
      </c>
      <c r="E50">
        <v>3541619</v>
      </c>
      <c r="F50">
        <v>4633</v>
      </c>
      <c r="G50">
        <v>661.85699999999997</v>
      </c>
      <c r="H50">
        <v>68825</v>
      </c>
      <c r="I50">
        <v>6</v>
      </c>
      <c r="J50">
        <v>0.85699999999999998</v>
      </c>
      <c r="K50">
        <f t="shared" si="0"/>
        <v>1.1471543694770032</v>
      </c>
      <c r="L50">
        <v>184779.06</v>
      </c>
      <c r="M50">
        <v>241.72</v>
      </c>
      <c r="N50">
        <v>34.530999999999999</v>
      </c>
      <c r="O50">
        <v>3590.8490000000002</v>
      </c>
      <c r="P50">
        <v>0.313</v>
      </c>
      <c r="Q50">
        <v>4.4999999999999998E-2</v>
      </c>
      <c r="AX50">
        <v>85.129000000000005</v>
      </c>
      <c r="AY50">
        <v>43</v>
      </c>
      <c r="AZ50">
        <v>17.850000000000001</v>
      </c>
      <c r="BA50">
        <v>11.69</v>
      </c>
      <c r="BB50">
        <v>23313.199000000001</v>
      </c>
      <c r="BC50">
        <v>5.7</v>
      </c>
      <c r="BD50">
        <v>370.94600000000003</v>
      </c>
      <c r="BE50">
        <v>9.74</v>
      </c>
      <c r="BF50">
        <v>22.9</v>
      </c>
      <c r="BG50">
        <v>37.1</v>
      </c>
      <c r="BI50">
        <v>6.8920000000000003</v>
      </c>
      <c r="BJ50">
        <v>76.05</v>
      </c>
      <c r="BK50">
        <v>0.82799999999999996</v>
      </c>
      <c r="BL50">
        <v>19659270</v>
      </c>
    </row>
    <row r="51" spans="1:64" x14ac:dyDescent="0.3">
      <c r="A51" t="s">
        <v>185</v>
      </c>
      <c r="B51" t="s">
        <v>73</v>
      </c>
      <c r="C51" t="s">
        <v>186</v>
      </c>
      <c r="D51" s="1">
        <v>45508</v>
      </c>
      <c r="E51">
        <v>3435679</v>
      </c>
      <c r="F51">
        <v>0</v>
      </c>
      <c r="G51">
        <v>0</v>
      </c>
      <c r="H51">
        <v>9693</v>
      </c>
      <c r="I51">
        <v>0</v>
      </c>
      <c r="J51">
        <v>0</v>
      </c>
      <c r="K51">
        <f t="shared" si="0"/>
        <v>0.72335273942631861</v>
      </c>
      <c r="L51">
        <v>582032.56000000006</v>
      </c>
      <c r="M51">
        <v>0</v>
      </c>
      <c r="N51">
        <v>0</v>
      </c>
      <c r="O51">
        <v>1642.075</v>
      </c>
      <c r="P51">
        <v>0</v>
      </c>
      <c r="Q51">
        <v>0</v>
      </c>
      <c r="AX51">
        <v>136.52000000000001</v>
      </c>
      <c r="AY51">
        <v>42.3</v>
      </c>
      <c r="AZ51">
        <v>19.677</v>
      </c>
      <c r="BA51">
        <v>12.324999999999999</v>
      </c>
      <c r="BB51">
        <v>46682.514999999999</v>
      </c>
      <c r="BC51">
        <v>0.2</v>
      </c>
      <c r="BD51">
        <v>114.767</v>
      </c>
      <c r="BE51">
        <v>6.41</v>
      </c>
      <c r="BF51">
        <v>19.3</v>
      </c>
      <c r="BG51">
        <v>18.8</v>
      </c>
      <c r="BI51">
        <v>2.5</v>
      </c>
      <c r="BJ51">
        <v>80.900000000000006</v>
      </c>
      <c r="BK51">
        <v>0.94</v>
      </c>
      <c r="BL51">
        <v>5882259</v>
      </c>
    </row>
    <row r="52" spans="1:64" x14ac:dyDescent="0.3">
      <c r="A52" t="s">
        <v>468</v>
      </c>
      <c r="B52" t="s">
        <v>68</v>
      </c>
      <c r="C52" t="s">
        <v>469</v>
      </c>
      <c r="D52" s="1">
        <v>45508</v>
      </c>
      <c r="E52">
        <v>3006155</v>
      </c>
      <c r="F52">
        <v>0</v>
      </c>
      <c r="G52">
        <v>0</v>
      </c>
      <c r="H52">
        <v>2024</v>
      </c>
      <c r="I52">
        <v>0</v>
      </c>
      <c r="J52">
        <v>0</v>
      </c>
      <c r="K52">
        <f t="shared" si="0"/>
        <v>0.91368626807805842</v>
      </c>
      <c r="L52">
        <v>532073.56000000006</v>
      </c>
      <c r="M52">
        <v>0</v>
      </c>
      <c r="N52">
        <v>0</v>
      </c>
      <c r="O52">
        <v>358.23700000000002</v>
      </c>
      <c r="P52">
        <v>0</v>
      </c>
      <c r="Q52">
        <v>0</v>
      </c>
      <c r="AX52">
        <v>7915.7309999999998</v>
      </c>
      <c r="AY52">
        <v>42.4</v>
      </c>
      <c r="AZ52">
        <v>12.922000000000001</v>
      </c>
      <c r="BA52">
        <v>7.0490000000000004</v>
      </c>
      <c r="BB52">
        <v>85535.383000000002</v>
      </c>
      <c r="BD52">
        <v>92.242999999999995</v>
      </c>
      <c r="BE52">
        <v>10.99</v>
      </c>
      <c r="BF52">
        <v>5.2</v>
      </c>
      <c r="BG52">
        <v>28.3</v>
      </c>
      <c r="BI52">
        <v>2.4</v>
      </c>
      <c r="BJ52">
        <v>83.62</v>
      </c>
      <c r="BK52">
        <v>0.93799999999999994</v>
      </c>
      <c r="BL52">
        <v>5637022</v>
      </c>
    </row>
    <row r="53" spans="1:64" x14ac:dyDescent="0.3">
      <c r="A53" t="s">
        <v>495</v>
      </c>
      <c r="B53" t="s">
        <v>73</v>
      </c>
      <c r="C53" t="s">
        <v>496</v>
      </c>
      <c r="D53" s="1">
        <v>45508</v>
      </c>
      <c r="E53">
        <v>2755181</v>
      </c>
      <c r="F53">
        <v>630</v>
      </c>
      <c r="G53">
        <v>90</v>
      </c>
      <c r="H53">
        <v>27399</v>
      </c>
      <c r="I53">
        <v>28</v>
      </c>
      <c r="J53">
        <v>4</v>
      </c>
      <c r="K53">
        <f t="shared" si="0"/>
        <v>4.8812927478977688</v>
      </c>
      <c r="L53">
        <v>262715.12</v>
      </c>
      <c r="M53">
        <v>60.072000000000003</v>
      </c>
      <c r="N53">
        <v>8.5820000000000007</v>
      </c>
      <c r="O53">
        <v>2612.58</v>
      </c>
      <c r="P53">
        <v>2.67</v>
      </c>
      <c r="Q53">
        <v>0.38100000000000001</v>
      </c>
      <c r="AX53">
        <v>24.718</v>
      </c>
      <c r="AY53">
        <v>41</v>
      </c>
      <c r="AZ53">
        <v>19.984999999999999</v>
      </c>
      <c r="BA53">
        <v>13.433</v>
      </c>
      <c r="BB53">
        <v>46949.283000000003</v>
      </c>
      <c r="BC53">
        <v>0.5</v>
      </c>
      <c r="BD53">
        <v>133.982</v>
      </c>
      <c r="BE53">
        <v>4.79</v>
      </c>
      <c r="BF53">
        <v>18.8</v>
      </c>
      <c r="BG53">
        <v>18.899999999999999</v>
      </c>
      <c r="BI53">
        <v>2.2200000000000002</v>
      </c>
      <c r="BJ53">
        <v>82.8</v>
      </c>
      <c r="BK53">
        <v>0.94499999999999995</v>
      </c>
      <c r="BL53">
        <v>10549349</v>
      </c>
    </row>
    <row r="54" spans="1:64" x14ac:dyDescent="0.3">
      <c r="A54" t="s">
        <v>382</v>
      </c>
      <c r="B54" t="s">
        <v>78</v>
      </c>
      <c r="C54" t="s">
        <v>383</v>
      </c>
      <c r="D54" s="1">
        <v>45515</v>
      </c>
      <c r="E54">
        <v>2639048</v>
      </c>
      <c r="F54">
        <v>1730</v>
      </c>
      <c r="G54">
        <v>247.143</v>
      </c>
      <c r="H54">
        <v>4284</v>
      </c>
      <c r="I54">
        <v>16</v>
      </c>
      <c r="J54">
        <v>2.286</v>
      </c>
      <c r="K54">
        <f t="shared" si="0"/>
        <v>0.31786495248401253</v>
      </c>
      <c r="L54">
        <v>514260.6</v>
      </c>
      <c r="M54">
        <v>337.11799999999999</v>
      </c>
      <c r="N54">
        <v>48.16</v>
      </c>
      <c r="O54">
        <v>834.80600000000004</v>
      </c>
      <c r="P54">
        <v>3.1179999999999999</v>
      </c>
      <c r="Q54">
        <v>0.44500000000000001</v>
      </c>
      <c r="AJ54">
        <v>13398398</v>
      </c>
      <c r="AM54">
        <v>4944676</v>
      </c>
      <c r="AO54">
        <v>1130</v>
      </c>
      <c r="AP54">
        <v>258.39</v>
      </c>
      <c r="AS54">
        <v>95.36</v>
      </c>
      <c r="AT54">
        <v>218</v>
      </c>
      <c r="AX54">
        <v>18.206</v>
      </c>
      <c r="AY54">
        <v>37.9</v>
      </c>
      <c r="AZ54">
        <v>15.321999999999999</v>
      </c>
      <c r="BA54">
        <v>9.7200000000000006</v>
      </c>
      <c r="BB54">
        <v>36085.843000000001</v>
      </c>
      <c r="BD54">
        <v>128.797</v>
      </c>
      <c r="BE54">
        <v>8.08</v>
      </c>
      <c r="BF54">
        <v>14.8</v>
      </c>
      <c r="BG54">
        <v>17.2</v>
      </c>
      <c r="BI54">
        <v>2.61</v>
      </c>
      <c r="BJ54">
        <v>82.29</v>
      </c>
      <c r="BK54">
        <v>0.93100000000000005</v>
      </c>
      <c r="BL54">
        <v>5185289</v>
      </c>
    </row>
    <row r="55" spans="1:64" x14ac:dyDescent="0.3">
      <c r="A55" t="s">
        <v>462</v>
      </c>
      <c r="B55" t="s">
        <v>73</v>
      </c>
      <c r="C55" t="s">
        <v>463</v>
      </c>
      <c r="D55" s="1">
        <v>45508</v>
      </c>
      <c r="E55">
        <v>2583470</v>
      </c>
      <c r="F55">
        <v>0</v>
      </c>
      <c r="G55">
        <v>0</v>
      </c>
      <c r="H55">
        <v>18057</v>
      </c>
      <c r="I55">
        <v>0</v>
      </c>
      <c r="J55">
        <v>0</v>
      </c>
      <c r="K55">
        <f t="shared" si="0"/>
        <v>1.6149230638808052</v>
      </c>
      <c r="L55">
        <v>380413.34</v>
      </c>
      <c r="M55">
        <v>0</v>
      </c>
      <c r="N55">
        <v>0</v>
      </c>
      <c r="O55">
        <v>2658.875</v>
      </c>
      <c r="P55">
        <v>0</v>
      </c>
      <c r="Q55">
        <v>0</v>
      </c>
      <c r="AX55">
        <v>80.290999999999997</v>
      </c>
      <c r="AY55">
        <v>41.2</v>
      </c>
      <c r="AZ55">
        <v>17.366</v>
      </c>
      <c r="BB55">
        <v>14048.880999999999</v>
      </c>
      <c r="BD55">
        <v>439.41500000000002</v>
      </c>
      <c r="BE55">
        <v>10.08</v>
      </c>
      <c r="BF55">
        <v>37.700000000000003</v>
      </c>
      <c r="BG55">
        <v>40.200000000000003</v>
      </c>
      <c r="BH55">
        <v>97.718999999999994</v>
      </c>
      <c r="BI55">
        <v>5.609</v>
      </c>
      <c r="BJ55">
        <v>76</v>
      </c>
      <c r="BK55">
        <v>0.80600000000000005</v>
      </c>
      <c r="BL55">
        <v>6871547</v>
      </c>
    </row>
    <row r="56" spans="1:64" x14ac:dyDescent="0.3">
      <c r="A56" t="s">
        <v>278</v>
      </c>
      <c r="B56" t="s">
        <v>68</v>
      </c>
      <c r="C56" t="s">
        <v>279</v>
      </c>
      <c r="D56" s="1">
        <v>45508</v>
      </c>
      <c r="E56">
        <v>2465545</v>
      </c>
      <c r="F56">
        <v>0</v>
      </c>
      <c r="G56">
        <v>0</v>
      </c>
      <c r="H56">
        <v>25375</v>
      </c>
      <c r="I56">
        <v>0</v>
      </c>
      <c r="J56">
        <v>0</v>
      </c>
      <c r="K56">
        <f t="shared" si="0"/>
        <v>2.5190503257614911</v>
      </c>
      <c r="L56">
        <v>55945.402000000002</v>
      </c>
      <c r="M56">
        <v>0</v>
      </c>
      <c r="N56">
        <v>0</v>
      </c>
      <c r="O56">
        <v>575.78099999999995</v>
      </c>
      <c r="P56">
        <v>0</v>
      </c>
      <c r="Q56">
        <v>0</v>
      </c>
      <c r="AX56">
        <v>88.125</v>
      </c>
      <c r="AY56">
        <v>20</v>
      </c>
      <c r="AZ56">
        <v>3.1859999999999999</v>
      </c>
      <c r="BA56">
        <v>1.9570000000000001</v>
      </c>
      <c r="BB56">
        <v>15663.986000000001</v>
      </c>
      <c r="BC56">
        <v>2.5</v>
      </c>
      <c r="BD56">
        <v>218.61199999999999</v>
      </c>
      <c r="BE56">
        <v>8.83</v>
      </c>
      <c r="BH56">
        <v>94.575999999999993</v>
      </c>
      <c r="BI56">
        <v>1.4</v>
      </c>
      <c r="BJ56">
        <v>70.599999999999994</v>
      </c>
      <c r="BK56">
        <v>0.67400000000000004</v>
      </c>
      <c r="BL56">
        <v>44496124</v>
      </c>
    </row>
    <row r="57" spans="1:64" x14ac:dyDescent="0.3">
      <c r="A57" t="s">
        <v>268</v>
      </c>
      <c r="B57" t="s">
        <v>73</v>
      </c>
      <c r="C57" t="s">
        <v>269</v>
      </c>
      <c r="D57" s="1">
        <v>45508</v>
      </c>
      <c r="E57">
        <v>2230800</v>
      </c>
      <c r="F57">
        <v>143</v>
      </c>
      <c r="G57">
        <v>20.428999999999998</v>
      </c>
      <c r="H57">
        <v>49053</v>
      </c>
      <c r="I57">
        <v>0</v>
      </c>
      <c r="J57">
        <v>0</v>
      </c>
      <c r="K57">
        <f t="shared" si="0"/>
        <v>1.9433202724516669</v>
      </c>
      <c r="L57">
        <v>230352.08</v>
      </c>
      <c r="M57">
        <v>14.766</v>
      </c>
      <c r="N57">
        <v>2.109</v>
      </c>
      <c r="O57">
        <v>5065.2060000000001</v>
      </c>
      <c r="P57">
        <v>0</v>
      </c>
      <c r="Q57">
        <v>0</v>
      </c>
      <c r="AX57">
        <v>108.04300000000001</v>
      </c>
      <c r="AY57">
        <v>43.4</v>
      </c>
      <c r="AZ57">
        <v>18.577000000000002</v>
      </c>
      <c r="BA57">
        <v>11.976000000000001</v>
      </c>
      <c r="BB57">
        <v>26777.561000000002</v>
      </c>
      <c r="BC57">
        <v>0.5</v>
      </c>
      <c r="BD57">
        <v>278.29599999999999</v>
      </c>
      <c r="BE57">
        <v>7.55</v>
      </c>
      <c r="BF57">
        <v>26.8</v>
      </c>
      <c r="BG57">
        <v>34.799999999999997</v>
      </c>
      <c r="BI57">
        <v>7.02</v>
      </c>
      <c r="BJ57">
        <v>76.88</v>
      </c>
      <c r="BK57">
        <v>0.85399999999999998</v>
      </c>
      <c r="BL57">
        <v>9967304</v>
      </c>
    </row>
    <row r="58" spans="1:64" x14ac:dyDescent="0.3">
      <c r="A58" t="s">
        <v>107</v>
      </c>
      <c r="B58" t="s">
        <v>68</v>
      </c>
      <c r="C58" t="s">
        <v>108</v>
      </c>
      <c r="D58" s="1">
        <v>45508</v>
      </c>
      <c r="E58">
        <v>2051348</v>
      </c>
      <c r="F58">
        <v>40</v>
      </c>
      <c r="G58">
        <v>5.7140000000000004</v>
      </c>
      <c r="H58">
        <v>29499</v>
      </c>
      <c r="I58">
        <v>0</v>
      </c>
      <c r="J58">
        <v>0</v>
      </c>
      <c r="K58">
        <f t="shared" si="0"/>
        <v>0.28212763765182952</v>
      </c>
      <c r="L58">
        <v>12110.572</v>
      </c>
      <c r="M58">
        <v>0.23599999999999999</v>
      </c>
      <c r="N58">
        <v>3.4000000000000002E-2</v>
      </c>
      <c r="O58">
        <v>174.154</v>
      </c>
      <c r="P58">
        <v>0</v>
      </c>
      <c r="Q58">
        <v>0</v>
      </c>
      <c r="AX58">
        <v>1265.0360000000001</v>
      </c>
      <c r="AY58">
        <v>27.5</v>
      </c>
      <c r="AZ58">
        <v>5.0979999999999999</v>
      </c>
      <c r="BA58">
        <v>3.262</v>
      </c>
      <c r="BB58">
        <v>3523.9839999999999</v>
      </c>
      <c r="BC58">
        <v>14.8</v>
      </c>
      <c r="BD58">
        <v>298.00299999999999</v>
      </c>
      <c r="BE58">
        <v>8.3800000000000008</v>
      </c>
      <c r="BF58">
        <v>1</v>
      </c>
      <c r="BG58">
        <v>44.7</v>
      </c>
      <c r="BH58">
        <v>34.808</v>
      </c>
      <c r="BI58">
        <v>0.8</v>
      </c>
      <c r="BJ58">
        <v>72.59</v>
      </c>
      <c r="BK58">
        <v>0.63200000000000001</v>
      </c>
      <c r="BL58">
        <v>171186368</v>
      </c>
    </row>
    <row r="59" spans="1:64" x14ac:dyDescent="0.3">
      <c r="A59" t="s">
        <v>324</v>
      </c>
      <c r="C59" t="s">
        <v>325</v>
      </c>
      <c r="D59" s="1">
        <v>45508</v>
      </c>
      <c r="E59">
        <v>1944334</v>
      </c>
      <c r="F59">
        <v>0</v>
      </c>
      <c r="G59">
        <v>0</v>
      </c>
      <c r="H59">
        <v>43529</v>
      </c>
      <c r="I59">
        <v>0</v>
      </c>
      <c r="J59">
        <v>0</v>
      </c>
      <c r="K59">
        <f t="shared" si="0"/>
        <v>6.7328530963972247E-2</v>
      </c>
      <c r="L59">
        <v>2712.27</v>
      </c>
      <c r="M59">
        <v>0</v>
      </c>
      <c r="N59">
        <v>0</v>
      </c>
      <c r="O59">
        <v>60.720999999999997</v>
      </c>
      <c r="P59">
        <v>0</v>
      </c>
      <c r="Q59">
        <v>0</v>
      </c>
      <c r="BL59">
        <v>737604900</v>
      </c>
    </row>
    <row r="60" spans="1:64" x14ac:dyDescent="0.3">
      <c r="A60" t="s">
        <v>472</v>
      </c>
      <c r="B60" t="s">
        <v>73</v>
      </c>
      <c r="C60" t="s">
        <v>473</v>
      </c>
      <c r="D60" s="1">
        <v>45508</v>
      </c>
      <c r="E60">
        <v>1878002</v>
      </c>
      <c r="F60">
        <v>61</v>
      </c>
      <c r="G60">
        <v>8.7140000000000004</v>
      </c>
      <c r="H60">
        <v>21227</v>
      </c>
      <c r="I60">
        <v>1</v>
      </c>
      <c r="J60">
        <v>0.14299999999999999</v>
      </c>
      <c r="K60">
        <f t="shared" si="0"/>
        <v>0.99445372191518455</v>
      </c>
      <c r="L60">
        <v>343127.25</v>
      </c>
      <c r="M60">
        <v>11.145</v>
      </c>
      <c r="N60">
        <v>1.5920000000000001</v>
      </c>
      <c r="O60">
        <v>3878.357</v>
      </c>
      <c r="P60">
        <v>0.183</v>
      </c>
      <c r="Q60">
        <v>2.5999999999999999E-2</v>
      </c>
      <c r="AX60">
        <v>113.128</v>
      </c>
      <c r="AY60">
        <v>41.2</v>
      </c>
      <c r="AZ60">
        <v>15.07</v>
      </c>
      <c r="BA60">
        <v>9.1669999999999998</v>
      </c>
      <c r="BB60">
        <v>30155.151999999998</v>
      </c>
      <c r="BC60">
        <v>0.7</v>
      </c>
      <c r="BD60">
        <v>287.959</v>
      </c>
      <c r="BE60">
        <v>7.29</v>
      </c>
      <c r="BF60">
        <v>23.1</v>
      </c>
      <c r="BG60">
        <v>37.700000000000003</v>
      </c>
      <c r="BI60">
        <v>5.82</v>
      </c>
      <c r="BJ60">
        <v>77.540000000000006</v>
      </c>
      <c r="BK60">
        <v>0.86</v>
      </c>
      <c r="BL60">
        <v>5643455</v>
      </c>
    </row>
    <row r="61" spans="1:64" x14ac:dyDescent="0.3">
      <c r="A61" t="s">
        <v>232</v>
      </c>
      <c r="B61" t="s">
        <v>68</v>
      </c>
      <c r="C61" t="s">
        <v>233</v>
      </c>
      <c r="D61" s="1">
        <v>45508</v>
      </c>
      <c r="E61">
        <v>1863615</v>
      </c>
      <c r="F61">
        <v>0</v>
      </c>
      <c r="G61">
        <v>0</v>
      </c>
      <c r="H61">
        <v>17150</v>
      </c>
      <c r="I61">
        <v>0</v>
      </c>
      <c r="J61">
        <v>0</v>
      </c>
      <c r="K61">
        <f t="shared" si="0"/>
        <v>0.16233126491067992</v>
      </c>
      <c r="L61">
        <v>491099.22</v>
      </c>
      <c r="M61">
        <v>0</v>
      </c>
      <c r="N61">
        <v>0</v>
      </c>
      <c r="O61">
        <v>4519.3620000000001</v>
      </c>
      <c r="P61">
        <v>0</v>
      </c>
      <c r="Q61">
        <v>0</v>
      </c>
      <c r="AX61">
        <v>65.031999999999996</v>
      </c>
      <c r="AY61">
        <v>38.700000000000003</v>
      </c>
      <c r="AZ61">
        <v>14.864000000000001</v>
      </c>
      <c r="BA61">
        <v>10.244</v>
      </c>
      <c r="BB61">
        <v>9745.0789999999997</v>
      </c>
      <c r="BC61">
        <v>4.2</v>
      </c>
      <c r="BD61">
        <v>496.21800000000002</v>
      </c>
      <c r="BE61">
        <v>7.11</v>
      </c>
      <c r="BF61">
        <v>5.3</v>
      </c>
      <c r="BG61">
        <v>55.5</v>
      </c>
      <c r="BI61">
        <v>2.6</v>
      </c>
      <c r="BJ61">
        <v>73.77</v>
      </c>
      <c r="BK61">
        <v>0.81200000000000006</v>
      </c>
      <c r="BL61">
        <v>3744385</v>
      </c>
    </row>
    <row r="62" spans="1:64" x14ac:dyDescent="0.3">
      <c r="A62" t="s">
        <v>294</v>
      </c>
      <c r="B62" t="s">
        <v>68</v>
      </c>
      <c r="C62" t="s">
        <v>295</v>
      </c>
      <c r="D62" s="1">
        <v>45508</v>
      </c>
      <c r="E62">
        <v>1746997</v>
      </c>
      <c r="F62">
        <v>0</v>
      </c>
      <c r="G62">
        <v>0</v>
      </c>
      <c r="H62">
        <v>14122</v>
      </c>
      <c r="I62">
        <v>0</v>
      </c>
      <c r="J62">
        <v>0</v>
      </c>
      <c r="K62">
        <f t="shared" si="0"/>
        <v>0.69894366878655445</v>
      </c>
      <c r="L62">
        <v>155202.16</v>
      </c>
      <c r="M62">
        <v>0</v>
      </c>
      <c r="N62">
        <v>0</v>
      </c>
      <c r="O62">
        <v>1254.5899999999999</v>
      </c>
      <c r="P62">
        <v>0</v>
      </c>
      <c r="Q62">
        <v>0</v>
      </c>
      <c r="AX62">
        <v>109.285</v>
      </c>
      <c r="AY62">
        <v>23.2</v>
      </c>
      <c r="AZ62">
        <v>3.81</v>
      </c>
      <c r="BA62">
        <v>2.3610000000000002</v>
      </c>
      <c r="BB62">
        <v>8337.49</v>
      </c>
      <c r="BC62">
        <v>0.1</v>
      </c>
      <c r="BD62">
        <v>208.25700000000001</v>
      </c>
      <c r="BE62">
        <v>11.75</v>
      </c>
      <c r="BI62">
        <v>1.4</v>
      </c>
      <c r="BJ62">
        <v>74.53</v>
      </c>
      <c r="BK62">
        <v>0.72899999999999998</v>
      </c>
      <c r="BL62">
        <v>11285875</v>
      </c>
    </row>
    <row r="63" spans="1:64" x14ac:dyDescent="0.3">
      <c r="A63" t="s">
        <v>280</v>
      </c>
      <c r="B63" t="s">
        <v>73</v>
      </c>
      <c r="C63" t="s">
        <v>281</v>
      </c>
      <c r="D63" s="1">
        <v>45508</v>
      </c>
      <c r="E63">
        <v>1745088</v>
      </c>
      <c r="F63">
        <v>761</v>
      </c>
      <c r="G63">
        <v>108.714</v>
      </c>
      <c r="H63">
        <v>9744</v>
      </c>
      <c r="I63">
        <v>9</v>
      </c>
      <c r="J63">
        <v>1.286</v>
      </c>
      <c r="K63">
        <f t="shared" si="0"/>
        <v>1.0291842168769989</v>
      </c>
      <c r="L63">
        <v>341503.62</v>
      </c>
      <c r="M63">
        <v>148.923</v>
      </c>
      <c r="N63">
        <v>21.274999999999999</v>
      </c>
      <c r="O63">
        <v>1906.8440000000001</v>
      </c>
      <c r="P63">
        <v>1.7609999999999999</v>
      </c>
      <c r="Q63">
        <v>0.252</v>
      </c>
      <c r="AX63">
        <v>69.873999999999995</v>
      </c>
      <c r="AY63">
        <v>38.700000000000003</v>
      </c>
      <c r="AZ63">
        <v>13.928000000000001</v>
      </c>
      <c r="BA63">
        <v>8.6780000000000008</v>
      </c>
      <c r="BB63">
        <v>67335.293000000005</v>
      </c>
      <c r="BC63">
        <v>0.2</v>
      </c>
      <c r="BD63">
        <v>126.459</v>
      </c>
      <c r="BE63">
        <v>3.28</v>
      </c>
      <c r="BF63">
        <v>23</v>
      </c>
      <c r="BG63">
        <v>25.7</v>
      </c>
      <c r="BI63">
        <v>2.96</v>
      </c>
      <c r="BJ63">
        <v>82.3</v>
      </c>
      <c r="BK63">
        <v>0.95499999999999996</v>
      </c>
      <c r="BL63">
        <v>5023108</v>
      </c>
    </row>
    <row r="64" spans="1:64" x14ac:dyDescent="0.3">
      <c r="A64" t="s">
        <v>404</v>
      </c>
      <c r="B64" t="s">
        <v>68</v>
      </c>
      <c r="C64" t="s">
        <v>405</v>
      </c>
      <c r="D64" s="1">
        <v>45508</v>
      </c>
      <c r="E64">
        <v>1580631</v>
      </c>
      <c r="F64">
        <v>0</v>
      </c>
      <c r="G64">
        <v>0</v>
      </c>
      <c r="H64">
        <v>30656</v>
      </c>
      <c r="I64">
        <v>0</v>
      </c>
      <c r="J64">
        <v>0</v>
      </c>
      <c r="K64">
        <f t="shared" si="0"/>
        <v>2.1988972565895644</v>
      </c>
      <c r="L64">
        <v>6485.9520000000002</v>
      </c>
      <c r="M64">
        <v>0</v>
      </c>
      <c r="N64">
        <v>0</v>
      </c>
      <c r="O64">
        <v>125.794</v>
      </c>
      <c r="P64">
        <v>0</v>
      </c>
      <c r="Q64">
        <v>0</v>
      </c>
      <c r="AX64">
        <v>255.57300000000001</v>
      </c>
      <c r="AY64">
        <v>23.5</v>
      </c>
      <c r="AZ64">
        <v>4.4950000000000001</v>
      </c>
      <c r="BA64">
        <v>2.78</v>
      </c>
      <c r="BB64">
        <v>5034.7079999999996</v>
      </c>
      <c r="BC64">
        <v>4</v>
      </c>
      <c r="BD64">
        <v>423.03100000000001</v>
      </c>
      <c r="BE64">
        <v>8.35</v>
      </c>
      <c r="BF64">
        <v>2.8</v>
      </c>
      <c r="BG64">
        <v>36.700000000000003</v>
      </c>
      <c r="BH64">
        <v>59.606999999999999</v>
      </c>
      <c r="BI64">
        <v>0.6</v>
      </c>
      <c r="BJ64">
        <v>67.27</v>
      </c>
      <c r="BK64">
        <v>0.55700000000000005</v>
      </c>
      <c r="BL64">
        <v>235824864</v>
      </c>
    </row>
    <row r="65" spans="1:64" x14ac:dyDescent="0.3">
      <c r="A65" t="s">
        <v>399</v>
      </c>
      <c r="B65" t="s">
        <v>73</v>
      </c>
      <c r="C65" t="s">
        <v>400</v>
      </c>
      <c r="D65" s="1">
        <v>45508</v>
      </c>
      <c r="E65">
        <v>1512647</v>
      </c>
      <c r="F65">
        <v>745</v>
      </c>
      <c r="G65">
        <v>106.429</v>
      </c>
      <c r="H65">
        <v>5732</v>
      </c>
      <c r="I65">
        <v>0</v>
      </c>
      <c r="J65">
        <v>0</v>
      </c>
      <c r="K65">
        <f t="shared" si="0"/>
        <v>1.4380300173349427</v>
      </c>
      <c r="L65">
        <v>277204.28000000003</v>
      </c>
      <c r="M65">
        <v>136.52699999999999</v>
      </c>
      <c r="N65">
        <v>19.504000000000001</v>
      </c>
      <c r="O65">
        <v>1050.434</v>
      </c>
      <c r="P65">
        <v>0</v>
      </c>
      <c r="Q65">
        <v>0</v>
      </c>
      <c r="AX65">
        <v>14.462</v>
      </c>
      <c r="AY65">
        <v>39.700000000000003</v>
      </c>
      <c r="AZ65">
        <v>16.821000000000002</v>
      </c>
      <c r="BA65">
        <v>10.813000000000001</v>
      </c>
      <c r="BB65">
        <v>64800.057000000001</v>
      </c>
      <c r="BC65">
        <v>0.2</v>
      </c>
      <c r="BD65">
        <v>114.316</v>
      </c>
      <c r="BE65">
        <v>5.31</v>
      </c>
      <c r="BF65">
        <v>19.600000000000001</v>
      </c>
      <c r="BG65">
        <v>20.7</v>
      </c>
      <c r="BI65">
        <v>3.6</v>
      </c>
      <c r="BJ65">
        <v>82.4</v>
      </c>
      <c r="BK65">
        <v>0.95699999999999996</v>
      </c>
      <c r="BL65">
        <v>5434324</v>
      </c>
    </row>
    <row r="66" spans="1:64" x14ac:dyDescent="0.3">
      <c r="A66" t="s">
        <v>296</v>
      </c>
      <c r="B66" t="s">
        <v>68</v>
      </c>
      <c r="C66" t="s">
        <v>297</v>
      </c>
      <c r="D66" s="1">
        <v>45508</v>
      </c>
      <c r="E66">
        <v>1504370</v>
      </c>
      <c r="F66">
        <v>0</v>
      </c>
      <c r="G66">
        <v>0</v>
      </c>
      <c r="H66">
        <v>19072</v>
      </c>
      <c r="I66">
        <v>0</v>
      </c>
      <c r="J66">
        <v>0</v>
      </c>
      <c r="K66">
        <f t="shared" si="0"/>
        <v>2.2387614473644959</v>
      </c>
      <c r="L66">
        <v>75088.554999999993</v>
      </c>
      <c r="M66">
        <v>0</v>
      </c>
      <c r="N66">
        <v>0</v>
      </c>
      <c r="O66">
        <v>951.95299999999997</v>
      </c>
      <c r="P66">
        <v>0</v>
      </c>
      <c r="Q66">
        <v>0</v>
      </c>
      <c r="AX66">
        <v>6.681</v>
      </c>
      <c r="AY66">
        <v>30.6</v>
      </c>
      <c r="AZ66">
        <v>6.9909999999999997</v>
      </c>
      <c r="BA66">
        <v>4.625</v>
      </c>
      <c r="BB66">
        <v>24055.588</v>
      </c>
      <c r="BC66">
        <v>0.1</v>
      </c>
      <c r="BD66">
        <v>466.79199999999997</v>
      </c>
      <c r="BE66">
        <v>7.11</v>
      </c>
      <c r="BF66">
        <v>7</v>
      </c>
      <c r="BG66">
        <v>43.1</v>
      </c>
      <c r="BH66">
        <v>98.998999999999995</v>
      </c>
      <c r="BI66">
        <v>6.7</v>
      </c>
      <c r="BJ66">
        <v>73.599999999999994</v>
      </c>
      <c r="BK66">
        <v>0.82499999999999996</v>
      </c>
      <c r="BL66">
        <v>19397998</v>
      </c>
    </row>
    <row r="67" spans="1:64" x14ac:dyDescent="0.3">
      <c r="A67" t="s">
        <v>220</v>
      </c>
      <c r="B67" t="s">
        <v>73</v>
      </c>
      <c r="C67" t="s">
        <v>221</v>
      </c>
      <c r="D67" s="1">
        <v>45508</v>
      </c>
      <c r="E67">
        <v>1499712</v>
      </c>
      <c r="F67">
        <v>0</v>
      </c>
      <c r="G67">
        <v>0</v>
      </c>
      <c r="H67">
        <v>11466</v>
      </c>
      <c r="I67">
        <v>0</v>
      </c>
      <c r="J67">
        <v>0</v>
      </c>
      <c r="K67">
        <f t="shared" si="0"/>
        <v>1.1302969858392056</v>
      </c>
      <c r="L67">
        <v>269281.96999999997</v>
      </c>
      <c r="M67">
        <v>0</v>
      </c>
      <c r="N67">
        <v>0</v>
      </c>
      <c r="O67">
        <v>2058.7869999999998</v>
      </c>
      <c r="P67">
        <v>0</v>
      </c>
      <c r="Q67">
        <v>0</v>
      </c>
      <c r="AX67">
        <v>18.135999999999999</v>
      </c>
      <c r="AY67">
        <v>42.8</v>
      </c>
      <c r="AZ67">
        <v>21.228000000000002</v>
      </c>
      <c r="BA67">
        <v>13.263999999999999</v>
      </c>
      <c r="BB67">
        <v>40585.720999999998</v>
      </c>
      <c r="BD67">
        <v>153.50700000000001</v>
      </c>
      <c r="BE67">
        <v>5.76</v>
      </c>
      <c r="BF67">
        <v>18.3</v>
      </c>
      <c r="BG67">
        <v>22.6</v>
      </c>
      <c r="BI67">
        <v>3.28</v>
      </c>
      <c r="BJ67">
        <v>81.91</v>
      </c>
      <c r="BK67">
        <v>0.93799999999999994</v>
      </c>
      <c r="BL67">
        <v>5540745</v>
      </c>
    </row>
    <row r="68" spans="1:64" x14ac:dyDescent="0.3">
      <c r="A68" t="s">
        <v>322</v>
      </c>
      <c r="B68" t="s">
        <v>73</v>
      </c>
      <c r="C68" t="s">
        <v>323</v>
      </c>
      <c r="D68" s="1">
        <v>45518</v>
      </c>
      <c r="E68">
        <v>1369355</v>
      </c>
      <c r="F68">
        <v>807</v>
      </c>
      <c r="G68">
        <v>115.286</v>
      </c>
      <c r="H68">
        <v>9810</v>
      </c>
      <c r="I68">
        <v>0</v>
      </c>
      <c r="J68">
        <v>0</v>
      </c>
      <c r="K68">
        <f t="shared" si="0"/>
        <v>0.92025445169737308</v>
      </c>
      <c r="L68">
        <v>486117.47</v>
      </c>
      <c r="M68">
        <v>286.483</v>
      </c>
      <c r="N68">
        <v>40.926000000000002</v>
      </c>
      <c r="O68">
        <v>3482.5250000000001</v>
      </c>
      <c r="P68">
        <v>0</v>
      </c>
      <c r="Q68">
        <v>0</v>
      </c>
      <c r="AJ68">
        <v>4604865</v>
      </c>
      <c r="AK68">
        <v>1958300</v>
      </c>
      <c r="AL68">
        <v>1881106</v>
      </c>
      <c r="AM68">
        <v>948621</v>
      </c>
      <c r="AN68">
        <v>1</v>
      </c>
      <c r="AO68">
        <v>2</v>
      </c>
      <c r="AP68">
        <v>167.45</v>
      </c>
      <c r="AQ68">
        <v>71.209999999999994</v>
      </c>
      <c r="AR68">
        <v>68.400000000000006</v>
      </c>
      <c r="AS68">
        <v>34.49</v>
      </c>
      <c r="AT68">
        <v>1</v>
      </c>
      <c r="AU68">
        <v>0</v>
      </c>
      <c r="AV68">
        <v>0</v>
      </c>
      <c r="AX68">
        <v>45.134999999999998</v>
      </c>
      <c r="AY68">
        <v>43.5</v>
      </c>
      <c r="AZ68">
        <v>19.001999999999999</v>
      </c>
      <c r="BA68">
        <v>13.778</v>
      </c>
      <c r="BB68">
        <v>29524.264999999999</v>
      </c>
      <c r="BC68">
        <v>0.7</v>
      </c>
      <c r="BD68">
        <v>342.98899999999998</v>
      </c>
      <c r="BE68">
        <v>3.67</v>
      </c>
      <c r="BF68">
        <v>21.3</v>
      </c>
      <c r="BG68">
        <v>38</v>
      </c>
      <c r="BI68">
        <v>6.56</v>
      </c>
      <c r="BJ68">
        <v>75.930000000000007</v>
      </c>
      <c r="BK68">
        <v>0.88200000000000001</v>
      </c>
      <c r="BL68">
        <v>2750058</v>
      </c>
    </row>
    <row r="69" spans="1:64" x14ac:dyDescent="0.3">
      <c r="A69" t="s">
        <v>474</v>
      </c>
      <c r="B69" t="s">
        <v>73</v>
      </c>
      <c r="C69" t="s">
        <v>475</v>
      </c>
      <c r="D69" s="1">
        <v>45508</v>
      </c>
      <c r="E69">
        <v>1356582</v>
      </c>
      <c r="F69">
        <v>148</v>
      </c>
      <c r="G69">
        <v>21.143000000000001</v>
      </c>
      <c r="H69">
        <v>10083</v>
      </c>
      <c r="I69">
        <v>4</v>
      </c>
      <c r="J69">
        <v>0.57099999999999995</v>
      </c>
      <c r="K69">
        <f t="shared" si="0"/>
        <v>0.80835857188077609</v>
      </c>
      <c r="L69">
        <v>641340.19999999995</v>
      </c>
      <c r="M69">
        <v>69.968999999999994</v>
      </c>
      <c r="N69">
        <v>9.9960000000000004</v>
      </c>
      <c r="O69">
        <v>4766.8580000000002</v>
      </c>
      <c r="P69">
        <v>1.891</v>
      </c>
      <c r="Q69">
        <v>0.27</v>
      </c>
      <c r="AX69">
        <v>102.619</v>
      </c>
      <c r="AY69">
        <v>44.5</v>
      </c>
      <c r="AZ69">
        <v>19.062000000000001</v>
      </c>
      <c r="BA69">
        <v>12.93</v>
      </c>
      <c r="BB69">
        <v>31400.84</v>
      </c>
      <c r="BD69">
        <v>153.49299999999999</v>
      </c>
      <c r="BE69">
        <v>7.25</v>
      </c>
      <c r="BF69">
        <v>20.100000000000001</v>
      </c>
      <c r="BG69">
        <v>25</v>
      </c>
      <c r="BI69">
        <v>4.5</v>
      </c>
      <c r="BJ69">
        <v>81.319999999999993</v>
      </c>
      <c r="BK69">
        <v>0.91700000000000004</v>
      </c>
      <c r="BL69">
        <v>2119843</v>
      </c>
    </row>
    <row r="70" spans="1:64" x14ac:dyDescent="0.3">
      <c r="A70" t="s">
        <v>137</v>
      </c>
      <c r="B70" t="s">
        <v>73</v>
      </c>
      <c r="C70" t="s">
        <v>138</v>
      </c>
      <c r="D70" s="1">
        <v>45508</v>
      </c>
      <c r="E70">
        <v>1329988</v>
      </c>
      <c r="F70">
        <v>257</v>
      </c>
      <c r="G70">
        <v>36.713999999999999</v>
      </c>
      <c r="H70">
        <v>38700</v>
      </c>
      <c r="I70">
        <v>0</v>
      </c>
      <c r="J70">
        <v>0</v>
      </c>
      <c r="K70">
        <f t="shared" si="0"/>
        <v>0.55836725712399604</v>
      </c>
      <c r="L70">
        <v>194845.4</v>
      </c>
      <c r="M70">
        <v>37.651000000000003</v>
      </c>
      <c r="N70">
        <v>5.3789999999999996</v>
      </c>
      <c r="O70">
        <v>5669.6130000000003</v>
      </c>
      <c r="P70">
        <v>0</v>
      </c>
      <c r="Q70">
        <v>0</v>
      </c>
      <c r="AX70">
        <v>65.180000000000007</v>
      </c>
      <c r="AY70">
        <v>44.7</v>
      </c>
      <c r="AZ70">
        <v>20.800999999999998</v>
      </c>
      <c r="BA70">
        <v>13.272</v>
      </c>
      <c r="BB70">
        <v>18563.307000000001</v>
      </c>
      <c r="BC70">
        <v>1.5</v>
      </c>
      <c r="BD70">
        <v>424.68799999999999</v>
      </c>
      <c r="BE70">
        <v>5.81</v>
      </c>
      <c r="BF70">
        <v>30.1</v>
      </c>
      <c r="BG70">
        <v>44.4</v>
      </c>
      <c r="BI70">
        <v>7.4539999999999997</v>
      </c>
      <c r="BJ70">
        <v>75.05</v>
      </c>
      <c r="BK70">
        <v>0.81599999999999995</v>
      </c>
      <c r="BL70">
        <v>6781955</v>
      </c>
    </row>
    <row r="71" spans="1:64" x14ac:dyDescent="0.3">
      <c r="A71" t="s">
        <v>173</v>
      </c>
      <c r="B71" t="s">
        <v>73</v>
      </c>
      <c r="C71" t="s">
        <v>174</v>
      </c>
      <c r="D71" s="1">
        <v>45508</v>
      </c>
      <c r="E71">
        <v>1317144</v>
      </c>
      <c r="F71">
        <v>0</v>
      </c>
      <c r="G71">
        <v>0</v>
      </c>
      <c r="H71">
        <v>18752</v>
      </c>
      <c r="I71">
        <v>0</v>
      </c>
      <c r="J71">
        <v>0</v>
      </c>
      <c r="K71">
        <f t="shared" si="0"/>
        <v>1.9394786006348097</v>
      </c>
      <c r="L71">
        <v>337121.47</v>
      </c>
      <c r="M71">
        <v>0</v>
      </c>
      <c r="N71">
        <v>0</v>
      </c>
      <c r="O71">
        <v>4799.5519999999997</v>
      </c>
      <c r="P71">
        <v>0</v>
      </c>
      <c r="Q71">
        <v>0</v>
      </c>
      <c r="AX71">
        <v>73.725999999999999</v>
      </c>
      <c r="AY71">
        <v>44</v>
      </c>
      <c r="AZ71">
        <v>19.724</v>
      </c>
      <c r="BA71">
        <v>13.053000000000001</v>
      </c>
      <c r="BB71">
        <v>22669.796999999999</v>
      </c>
      <c r="BC71">
        <v>0.7</v>
      </c>
      <c r="BD71">
        <v>253.78200000000001</v>
      </c>
      <c r="BE71">
        <v>5.59</v>
      </c>
      <c r="BF71">
        <v>34.299999999999997</v>
      </c>
      <c r="BG71">
        <v>39.9</v>
      </c>
      <c r="BI71">
        <v>5.54</v>
      </c>
      <c r="BJ71">
        <v>78.489999999999995</v>
      </c>
      <c r="BK71">
        <v>0.85099999999999998</v>
      </c>
      <c r="BL71">
        <v>4030361</v>
      </c>
    </row>
    <row r="72" spans="1:64" x14ac:dyDescent="0.3">
      <c r="A72" t="s">
        <v>366</v>
      </c>
      <c r="B72" t="s">
        <v>71</v>
      </c>
      <c r="C72" t="s">
        <v>367</v>
      </c>
      <c r="D72" s="1">
        <v>45508</v>
      </c>
      <c r="E72">
        <v>1279115</v>
      </c>
      <c r="F72">
        <v>0</v>
      </c>
      <c r="G72">
        <v>0</v>
      </c>
      <c r="H72">
        <v>16305</v>
      </c>
      <c r="I72">
        <v>0</v>
      </c>
      <c r="J72">
        <v>0</v>
      </c>
      <c r="K72">
        <f t="shared" si="0"/>
        <v>0.37893837755933801</v>
      </c>
      <c r="L72">
        <v>34265.919999999998</v>
      </c>
      <c r="M72">
        <v>0</v>
      </c>
      <c r="N72">
        <v>0</v>
      </c>
      <c r="O72">
        <v>436.791</v>
      </c>
      <c r="P72">
        <v>0</v>
      </c>
      <c r="Q72">
        <v>0</v>
      </c>
      <c r="AX72">
        <v>80.08</v>
      </c>
      <c r="AY72">
        <v>29.6</v>
      </c>
      <c r="AZ72">
        <v>6.7690000000000001</v>
      </c>
      <c r="BA72">
        <v>4.2089999999999996</v>
      </c>
      <c r="BB72">
        <v>7485.0129999999999</v>
      </c>
      <c r="BC72">
        <v>1</v>
      </c>
      <c r="BD72">
        <v>419.14600000000002</v>
      </c>
      <c r="BE72">
        <v>7.14</v>
      </c>
      <c r="BF72">
        <v>0.8</v>
      </c>
      <c r="BG72">
        <v>47.1</v>
      </c>
      <c r="BI72">
        <v>1.1000000000000001</v>
      </c>
      <c r="BJ72">
        <v>76.680000000000007</v>
      </c>
      <c r="BK72">
        <v>0.68600000000000005</v>
      </c>
      <c r="BL72">
        <v>37457976</v>
      </c>
    </row>
    <row r="73" spans="1:64" x14ac:dyDescent="0.3">
      <c r="A73" t="s">
        <v>426</v>
      </c>
      <c r="B73" t="s">
        <v>85</v>
      </c>
      <c r="C73" t="s">
        <v>427</v>
      </c>
      <c r="D73" s="1">
        <v>45508</v>
      </c>
      <c r="E73">
        <v>1252713</v>
      </c>
      <c r="F73">
        <v>0</v>
      </c>
      <c r="G73">
        <v>0</v>
      </c>
      <c r="H73">
        <v>5938</v>
      </c>
      <c r="I73">
        <v>0</v>
      </c>
      <c r="J73">
        <v>0</v>
      </c>
      <c r="K73">
        <f t="shared" ref="K73:K136" si="1">(H66/E66)*100</f>
        <v>1.2677732206837413</v>
      </c>
      <c r="L73">
        <v>386523.97</v>
      </c>
      <c r="M73">
        <v>0</v>
      </c>
      <c r="N73">
        <v>0</v>
      </c>
      <c r="O73">
        <v>1832.1669999999999</v>
      </c>
      <c r="P73">
        <v>0</v>
      </c>
      <c r="Q73">
        <v>0</v>
      </c>
      <c r="AX73">
        <v>376.23200000000003</v>
      </c>
      <c r="AY73">
        <v>38.200000000000003</v>
      </c>
      <c r="AZ73">
        <v>15.167999999999999</v>
      </c>
      <c r="BA73">
        <v>9.8290000000000006</v>
      </c>
      <c r="BB73">
        <v>35044.67</v>
      </c>
      <c r="BD73">
        <v>108.09399999999999</v>
      </c>
      <c r="BE73">
        <v>12.9</v>
      </c>
      <c r="BJ73">
        <v>80.099999999999994</v>
      </c>
      <c r="BL73">
        <v>3252412</v>
      </c>
    </row>
    <row r="74" spans="1:64" x14ac:dyDescent="0.3">
      <c r="A74" t="s">
        <v>250</v>
      </c>
      <c r="B74" t="s">
        <v>85</v>
      </c>
      <c r="C74" t="s">
        <v>251</v>
      </c>
      <c r="D74" s="1">
        <v>45508</v>
      </c>
      <c r="E74">
        <v>1250371</v>
      </c>
      <c r="F74">
        <v>1</v>
      </c>
      <c r="G74">
        <v>0.14299999999999999</v>
      </c>
      <c r="H74">
        <v>20203</v>
      </c>
      <c r="I74">
        <v>0</v>
      </c>
      <c r="J74">
        <v>0</v>
      </c>
      <c r="K74">
        <f t="shared" si="1"/>
        <v>0.76454679298425299</v>
      </c>
      <c r="L74">
        <v>70057.125</v>
      </c>
      <c r="M74">
        <v>5.6000000000000001E-2</v>
      </c>
      <c r="N74">
        <v>8.0000000000000002E-3</v>
      </c>
      <c r="O74">
        <v>1131.9549999999999</v>
      </c>
      <c r="P74">
        <v>0</v>
      </c>
      <c r="Q74">
        <v>0</v>
      </c>
      <c r="AX74">
        <v>157.834</v>
      </c>
      <c r="AY74">
        <v>22.9</v>
      </c>
      <c r="AZ74">
        <v>4.694</v>
      </c>
      <c r="BA74">
        <v>3.016</v>
      </c>
      <c r="BB74">
        <v>7423.808</v>
      </c>
      <c r="BC74">
        <v>8.6999999999999993</v>
      </c>
      <c r="BD74">
        <v>155.898</v>
      </c>
      <c r="BE74">
        <v>10.18</v>
      </c>
      <c r="BH74">
        <v>76.665000000000006</v>
      </c>
      <c r="BI74">
        <v>0.6</v>
      </c>
      <c r="BJ74">
        <v>74.3</v>
      </c>
      <c r="BK74">
        <v>0.66300000000000003</v>
      </c>
      <c r="BL74">
        <v>17843914</v>
      </c>
    </row>
    <row r="75" spans="1:64" x14ac:dyDescent="0.3">
      <c r="A75" t="s">
        <v>312</v>
      </c>
      <c r="B75" t="s">
        <v>68</v>
      </c>
      <c r="C75" t="s">
        <v>313</v>
      </c>
      <c r="D75" s="1">
        <v>45508</v>
      </c>
      <c r="E75">
        <v>1239904</v>
      </c>
      <c r="F75">
        <v>0</v>
      </c>
      <c r="G75">
        <v>0</v>
      </c>
      <c r="H75">
        <v>10947</v>
      </c>
      <c r="I75">
        <v>0</v>
      </c>
      <c r="J75">
        <v>0</v>
      </c>
      <c r="K75">
        <f t="shared" si="1"/>
        <v>0.71639567533619841</v>
      </c>
      <c r="L75">
        <v>215842.16</v>
      </c>
      <c r="M75">
        <v>0</v>
      </c>
      <c r="N75">
        <v>0</v>
      </c>
      <c r="O75">
        <v>1905.6510000000001</v>
      </c>
      <c r="P75">
        <v>0</v>
      </c>
      <c r="Q75">
        <v>0</v>
      </c>
      <c r="AX75">
        <v>594.56100000000004</v>
      </c>
      <c r="AY75">
        <v>31.1</v>
      </c>
      <c r="AZ75">
        <v>8.5139999999999993</v>
      </c>
      <c r="BA75">
        <v>5.43</v>
      </c>
      <c r="BB75">
        <v>13367.565000000001</v>
      </c>
      <c r="BD75">
        <v>266.59100000000001</v>
      </c>
      <c r="BE75">
        <v>12.71</v>
      </c>
      <c r="BF75">
        <v>26.9</v>
      </c>
      <c r="BG75">
        <v>40.700000000000003</v>
      </c>
      <c r="BI75">
        <v>2.9</v>
      </c>
      <c r="BJ75">
        <v>78.930000000000007</v>
      </c>
      <c r="BK75">
        <v>0.74399999999999999</v>
      </c>
      <c r="BL75">
        <v>5489744</v>
      </c>
    </row>
    <row r="76" spans="1:64" x14ac:dyDescent="0.3">
      <c r="A76" t="s">
        <v>169</v>
      </c>
      <c r="B76" t="s">
        <v>85</v>
      </c>
      <c r="C76" t="s">
        <v>170</v>
      </c>
      <c r="D76" s="1">
        <v>45508</v>
      </c>
      <c r="E76">
        <v>1234701</v>
      </c>
      <c r="F76">
        <v>0</v>
      </c>
      <c r="G76">
        <v>0</v>
      </c>
      <c r="H76">
        <v>9372</v>
      </c>
      <c r="I76">
        <v>0</v>
      </c>
      <c r="J76">
        <v>0</v>
      </c>
      <c r="K76">
        <f t="shared" si="1"/>
        <v>0.74326505880219551</v>
      </c>
      <c r="L76">
        <v>242966.97</v>
      </c>
      <c r="M76">
        <v>0</v>
      </c>
      <c r="N76">
        <v>0</v>
      </c>
      <c r="O76">
        <v>1844.241</v>
      </c>
      <c r="P76">
        <v>0</v>
      </c>
      <c r="Q76">
        <v>0</v>
      </c>
      <c r="AX76">
        <v>96.078999999999994</v>
      </c>
      <c r="AY76">
        <v>33.6</v>
      </c>
      <c r="AZ76">
        <v>9.468</v>
      </c>
      <c r="BA76">
        <v>5.694</v>
      </c>
      <c r="BB76">
        <v>15524.995000000001</v>
      </c>
      <c r="BC76">
        <v>1.3</v>
      </c>
      <c r="BD76">
        <v>137.97300000000001</v>
      </c>
      <c r="BE76">
        <v>8.7799999999999994</v>
      </c>
      <c r="BF76">
        <v>6.4</v>
      </c>
      <c r="BG76">
        <v>17.399999999999999</v>
      </c>
      <c r="BH76">
        <v>83.840999999999994</v>
      </c>
      <c r="BI76">
        <v>1.1299999999999999</v>
      </c>
      <c r="BJ76">
        <v>80.28</v>
      </c>
      <c r="BK76">
        <v>0.81</v>
      </c>
      <c r="BL76">
        <v>5180836</v>
      </c>
    </row>
    <row r="77" spans="1:64" x14ac:dyDescent="0.3">
      <c r="A77" t="s">
        <v>123</v>
      </c>
      <c r="B77" t="s">
        <v>90</v>
      </c>
      <c r="C77" t="s">
        <v>124</v>
      </c>
      <c r="D77" s="1">
        <v>45508</v>
      </c>
      <c r="E77">
        <v>1212147</v>
      </c>
      <c r="F77">
        <v>2</v>
      </c>
      <c r="G77">
        <v>0.28599999999999998</v>
      </c>
      <c r="H77">
        <v>22387</v>
      </c>
      <c r="I77">
        <v>0</v>
      </c>
      <c r="J77">
        <v>0</v>
      </c>
      <c r="K77">
        <f t="shared" si="1"/>
        <v>2.9098006899310369</v>
      </c>
      <c r="L77">
        <v>100366.93</v>
      </c>
      <c r="M77">
        <v>0.16600000000000001</v>
      </c>
      <c r="N77">
        <v>2.4E-2</v>
      </c>
      <c r="O77">
        <v>1853.665</v>
      </c>
      <c r="P77">
        <v>0</v>
      </c>
      <c r="Q77">
        <v>0</v>
      </c>
      <c r="AX77">
        <v>10.202</v>
      </c>
      <c r="AY77">
        <v>25.4</v>
      </c>
      <c r="AZ77">
        <v>6.7039999999999997</v>
      </c>
      <c r="BA77">
        <v>4.3929999999999998</v>
      </c>
      <c r="BB77">
        <v>6885.8289999999997</v>
      </c>
      <c r="BC77">
        <v>7.1</v>
      </c>
      <c r="BD77">
        <v>204.29900000000001</v>
      </c>
      <c r="BE77">
        <v>6.89</v>
      </c>
      <c r="BH77">
        <v>25.382999999999999</v>
      </c>
      <c r="BI77">
        <v>1.1000000000000001</v>
      </c>
      <c r="BJ77">
        <v>71.510000000000005</v>
      </c>
      <c r="BK77">
        <v>0.71799999999999997</v>
      </c>
      <c r="BL77">
        <v>12224114</v>
      </c>
    </row>
    <row r="78" spans="1:64" x14ac:dyDescent="0.3">
      <c r="A78" t="s">
        <v>515</v>
      </c>
      <c r="B78" t="s">
        <v>71</v>
      </c>
      <c r="C78" t="s">
        <v>516</v>
      </c>
      <c r="D78" s="1">
        <v>45508</v>
      </c>
      <c r="E78">
        <v>1153361</v>
      </c>
      <c r="F78">
        <v>0</v>
      </c>
      <c r="G78">
        <v>0</v>
      </c>
      <c r="H78">
        <v>29423</v>
      </c>
      <c r="I78">
        <v>0</v>
      </c>
      <c r="J78">
        <v>0</v>
      </c>
      <c r="K78">
        <f t="shared" si="1"/>
        <v>1.4236864002721039</v>
      </c>
      <c r="L78">
        <v>95167.016000000003</v>
      </c>
      <c r="M78">
        <v>0</v>
      </c>
      <c r="N78">
        <v>0</v>
      </c>
      <c r="O78">
        <v>2427.7730000000001</v>
      </c>
      <c r="P78">
        <v>0</v>
      </c>
      <c r="Q78">
        <v>0</v>
      </c>
      <c r="AX78">
        <v>74.227999999999994</v>
      </c>
      <c r="AY78">
        <v>32.700000000000003</v>
      </c>
      <c r="AZ78">
        <v>8.0009999999999994</v>
      </c>
      <c r="BA78">
        <v>5.0750000000000002</v>
      </c>
      <c r="BB78">
        <v>10849.297</v>
      </c>
      <c r="BC78">
        <v>2</v>
      </c>
      <c r="BD78">
        <v>318.99099999999999</v>
      </c>
      <c r="BE78">
        <v>8.52</v>
      </c>
      <c r="BF78">
        <v>1.1000000000000001</v>
      </c>
      <c r="BG78">
        <v>65.8</v>
      </c>
      <c r="BH78">
        <v>78.686999999999998</v>
      </c>
      <c r="BI78">
        <v>2.2999999999999998</v>
      </c>
      <c r="BJ78">
        <v>76.7</v>
      </c>
      <c r="BK78">
        <v>0.74</v>
      </c>
      <c r="BL78">
        <v>12356116</v>
      </c>
    </row>
    <row r="79" spans="1:64" x14ac:dyDescent="0.3">
      <c r="A79" t="s">
        <v>175</v>
      </c>
      <c r="B79" t="s">
        <v>85</v>
      </c>
      <c r="C79" t="s">
        <v>176</v>
      </c>
      <c r="D79" s="1">
        <v>45508</v>
      </c>
      <c r="E79">
        <v>1113662</v>
      </c>
      <c r="F79">
        <v>0</v>
      </c>
      <c r="G79">
        <v>0</v>
      </c>
      <c r="H79">
        <v>8530</v>
      </c>
      <c r="I79">
        <v>0</v>
      </c>
      <c r="J79">
        <v>0</v>
      </c>
      <c r="K79">
        <f t="shared" si="1"/>
        <v>1.2747094670924819</v>
      </c>
      <c r="L79">
        <v>100694.39999999999</v>
      </c>
      <c r="M79">
        <v>0</v>
      </c>
      <c r="N79">
        <v>0</v>
      </c>
      <c r="O79">
        <v>771.26</v>
      </c>
      <c r="P79">
        <v>0</v>
      </c>
      <c r="Q79">
        <v>0</v>
      </c>
      <c r="AX79">
        <v>110.408</v>
      </c>
      <c r="AY79">
        <v>43.1</v>
      </c>
      <c r="AZ79">
        <v>14.738</v>
      </c>
      <c r="BA79">
        <v>9.7189999999999994</v>
      </c>
      <c r="BD79">
        <v>190.96799999999999</v>
      </c>
      <c r="BE79">
        <v>8.27</v>
      </c>
      <c r="BF79">
        <v>17.100000000000001</v>
      </c>
      <c r="BG79">
        <v>53.3</v>
      </c>
      <c r="BH79">
        <v>85.197999999999993</v>
      </c>
      <c r="BI79">
        <v>5.2</v>
      </c>
      <c r="BJ79">
        <v>78.8</v>
      </c>
      <c r="BK79">
        <v>0.78300000000000003</v>
      </c>
      <c r="BL79">
        <v>11212198</v>
      </c>
    </row>
    <row r="80" spans="1:64" x14ac:dyDescent="0.3">
      <c r="A80" t="s">
        <v>195</v>
      </c>
      <c r="B80" t="s">
        <v>90</v>
      </c>
      <c r="C80" t="s">
        <v>196</v>
      </c>
      <c r="D80" s="1">
        <v>45508</v>
      </c>
      <c r="E80">
        <v>1077445</v>
      </c>
      <c r="F80">
        <v>157</v>
      </c>
      <c r="G80">
        <v>22.428999999999998</v>
      </c>
      <c r="H80">
        <v>36050</v>
      </c>
      <c r="I80">
        <v>0</v>
      </c>
      <c r="J80">
        <v>0</v>
      </c>
      <c r="K80">
        <f t="shared" si="1"/>
        <v>0.47401120607832764</v>
      </c>
      <c r="L80">
        <v>60449.453000000001</v>
      </c>
      <c r="M80">
        <v>8.8079999999999998</v>
      </c>
      <c r="N80">
        <v>1.258</v>
      </c>
      <c r="O80">
        <v>2022.5650000000001</v>
      </c>
      <c r="P80">
        <v>0</v>
      </c>
      <c r="Q80">
        <v>0</v>
      </c>
      <c r="AX80">
        <v>66.938999999999993</v>
      </c>
      <c r="AY80">
        <v>28.1</v>
      </c>
      <c r="AZ80">
        <v>7.1040000000000001</v>
      </c>
      <c r="BA80">
        <v>4.4580000000000002</v>
      </c>
      <c r="BB80">
        <v>10581.936</v>
      </c>
      <c r="BC80">
        <v>3.6</v>
      </c>
      <c r="BD80">
        <v>140.44800000000001</v>
      </c>
      <c r="BE80">
        <v>5.55</v>
      </c>
      <c r="BF80">
        <v>2</v>
      </c>
      <c r="BG80">
        <v>12.3</v>
      </c>
      <c r="BH80">
        <v>80.635000000000005</v>
      </c>
      <c r="BI80">
        <v>1.5</v>
      </c>
      <c r="BJ80">
        <v>77.010000000000005</v>
      </c>
      <c r="BK80">
        <v>0.75900000000000001</v>
      </c>
      <c r="BL80">
        <v>18001002</v>
      </c>
    </row>
    <row r="81" spans="1:64" x14ac:dyDescent="0.3">
      <c r="A81" t="s">
        <v>529</v>
      </c>
      <c r="B81" t="s">
        <v>68</v>
      </c>
      <c r="C81" t="s">
        <v>530</v>
      </c>
      <c r="D81" s="1">
        <v>45508</v>
      </c>
      <c r="E81">
        <v>1067030</v>
      </c>
      <c r="F81">
        <v>0</v>
      </c>
      <c r="G81">
        <v>0</v>
      </c>
      <c r="H81">
        <v>2349</v>
      </c>
      <c r="I81">
        <v>0</v>
      </c>
      <c r="J81">
        <v>0</v>
      </c>
      <c r="K81">
        <f t="shared" si="1"/>
        <v>1.615760442300725</v>
      </c>
      <c r="L81">
        <v>104180.94</v>
      </c>
      <c r="M81">
        <v>0</v>
      </c>
      <c r="N81">
        <v>0</v>
      </c>
      <c r="O81">
        <v>229.34800000000001</v>
      </c>
      <c r="P81">
        <v>0</v>
      </c>
      <c r="Q81">
        <v>0</v>
      </c>
      <c r="AX81">
        <v>112.44199999999999</v>
      </c>
      <c r="AY81">
        <v>34</v>
      </c>
      <c r="AZ81">
        <v>1.1439999999999999</v>
      </c>
      <c r="BA81">
        <v>0.52600000000000002</v>
      </c>
      <c r="BB81">
        <v>67293.482999999993</v>
      </c>
      <c r="BD81">
        <v>317.83999999999997</v>
      </c>
      <c r="BE81">
        <v>17.260000000000002</v>
      </c>
      <c r="BF81">
        <v>1.2</v>
      </c>
      <c r="BG81">
        <v>37.4</v>
      </c>
      <c r="BI81">
        <v>1.2</v>
      </c>
      <c r="BJ81">
        <v>77.97</v>
      </c>
      <c r="BK81">
        <v>0.89</v>
      </c>
      <c r="BL81">
        <v>9441138</v>
      </c>
    </row>
    <row r="82" spans="1:64" x14ac:dyDescent="0.3">
      <c r="A82" t="s">
        <v>410</v>
      </c>
      <c r="B82" t="s">
        <v>85</v>
      </c>
      <c r="C82" t="s">
        <v>411</v>
      </c>
      <c r="D82" s="1">
        <v>45508</v>
      </c>
      <c r="E82">
        <v>1044821</v>
      </c>
      <c r="F82">
        <v>0</v>
      </c>
      <c r="G82">
        <v>0</v>
      </c>
      <c r="H82">
        <v>8748</v>
      </c>
      <c r="I82">
        <v>0</v>
      </c>
      <c r="J82">
        <v>0</v>
      </c>
      <c r="K82">
        <f t="shared" si="1"/>
        <v>0.88289093349162517</v>
      </c>
      <c r="L82">
        <v>237417.66</v>
      </c>
      <c r="M82">
        <v>0</v>
      </c>
      <c r="N82">
        <v>0</v>
      </c>
      <c r="O82">
        <v>1987.8330000000001</v>
      </c>
      <c r="P82">
        <v>0</v>
      </c>
      <c r="Q82">
        <v>0</v>
      </c>
      <c r="AX82">
        <v>55.133000000000003</v>
      </c>
      <c r="AY82">
        <v>29.7</v>
      </c>
      <c r="AZ82">
        <v>7.9180000000000001</v>
      </c>
      <c r="BA82">
        <v>5.03</v>
      </c>
      <c r="BB82">
        <v>22267.037</v>
      </c>
      <c r="BC82">
        <v>2.2000000000000002</v>
      </c>
      <c r="BD82">
        <v>128.346</v>
      </c>
      <c r="BE82">
        <v>8.33</v>
      </c>
      <c r="BF82">
        <v>2.4</v>
      </c>
      <c r="BG82">
        <v>9.9</v>
      </c>
      <c r="BI82">
        <v>2.2999999999999998</v>
      </c>
      <c r="BJ82">
        <v>78.510000000000005</v>
      </c>
      <c r="BK82">
        <v>0.81499999999999995</v>
      </c>
      <c r="BL82">
        <v>4408582</v>
      </c>
    </row>
    <row r="83" spans="1:64" x14ac:dyDescent="0.3">
      <c r="A83" t="s">
        <v>539</v>
      </c>
      <c r="B83" t="s">
        <v>90</v>
      </c>
      <c r="C83" t="s">
        <v>540</v>
      </c>
      <c r="D83" s="1">
        <v>45508</v>
      </c>
      <c r="E83">
        <v>1041346</v>
      </c>
      <c r="F83">
        <v>15</v>
      </c>
      <c r="G83">
        <v>2.1429999999999998</v>
      </c>
      <c r="H83">
        <v>7682</v>
      </c>
      <c r="I83">
        <v>0</v>
      </c>
      <c r="J83">
        <v>0</v>
      </c>
      <c r="K83">
        <f t="shared" si="1"/>
        <v>0.75905016680151716</v>
      </c>
      <c r="L83">
        <v>307099</v>
      </c>
      <c r="M83">
        <v>4.4240000000000004</v>
      </c>
      <c r="N83">
        <v>0.63200000000000001</v>
      </c>
      <c r="O83">
        <v>2265.4659999999999</v>
      </c>
      <c r="P83">
        <v>0</v>
      </c>
      <c r="Q83">
        <v>0</v>
      </c>
      <c r="AX83">
        <v>19.751000000000001</v>
      </c>
      <c r="AY83">
        <v>35.6</v>
      </c>
      <c r="AZ83">
        <v>14.654999999999999</v>
      </c>
      <c r="BA83">
        <v>10.361000000000001</v>
      </c>
      <c r="BB83">
        <v>20551.409</v>
      </c>
      <c r="BC83">
        <v>0.1</v>
      </c>
      <c r="BD83">
        <v>160.708</v>
      </c>
      <c r="BE83">
        <v>6.93</v>
      </c>
      <c r="BF83">
        <v>14</v>
      </c>
      <c r="BG83">
        <v>19.899999999999999</v>
      </c>
      <c r="BI83">
        <v>2.8</v>
      </c>
      <c r="BJ83">
        <v>77.91</v>
      </c>
      <c r="BK83">
        <v>0.81699999999999995</v>
      </c>
      <c r="BL83">
        <v>3422796</v>
      </c>
    </row>
    <row r="84" spans="1:64" x14ac:dyDescent="0.3">
      <c r="A84" t="s">
        <v>360</v>
      </c>
      <c r="B84" t="s">
        <v>68</v>
      </c>
      <c r="C84" t="s">
        <v>361</v>
      </c>
      <c r="D84" s="1">
        <v>45508</v>
      </c>
      <c r="E84">
        <v>1011489</v>
      </c>
      <c r="F84">
        <v>0</v>
      </c>
      <c r="G84">
        <v>0</v>
      </c>
      <c r="H84">
        <v>2136</v>
      </c>
      <c r="I84">
        <v>0</v>
      </c>
      <c r="J84">
        <v>0</v>
      </c>
      <c r="K84">
        <f t="shared" si="1"/>
        <v>1.8468882074533863</v>
      </c>
      <c r="L84">
        <v>298725.5</v>
      </c>
      <c r="M84">
        <v>0</v>
      </c>
      <c r="N84">
        <v>0</v>
      </c>
      <c r="O84">
        <v>630.83000000000004</v>
      </c>
      <c r="P84">
        <v>0</v>
      </c>
      <c r="Q84">
        <v>0</v>
      </c>
      <c r="AX84">
        <v>1.98</v>
      </c>
      <c r="AY84">
        <v>28.6</v>
      </c>
      <c r="AZ84">
        <v>4.0309999999999997</v>
      </c>
      <c r="BA84">
        <v>2.4209999999999998</v>
      </c>
      <c r="BB84">
        <v>11840.846</v>
      </c>
      <c r="BC84">
        <v>0.5</v>
      </c>
      <c r="BD84">
        <v>460.04300000000001</v>
      </c>
      <c r="BE84">
        <v>4.82</v>
      </c>
      <c r="BF84">
        <v>5.5</v>
      </c>
      <c r="BG84">
        <v>46.5</v>
      </c>
      <c r="BH84">
        <v>71.180000000000007</v>
      </c>
      <c r="BI84">
        <v>7</v>
      </c>
      <c r="BJ84">
        <v>69.87</v>
      </c>
      <c r="BK84">
        <v>0.73699999999999999</v>
      </c>
      <c r="BL84">
        <v>3398373</v>
      </c>
    </row>
    <row r="85" spans="1:64" x14ac:dyDescent="0.3">
      <c r="A85" t="s">
        <v>376</v>
      </c>
      <c r="B85" t="s">
        <v>68</v>
      </c>
      <c r="C85" t="s">
        <v>377</v>
      </c>
      <c r="D85" s="1">
        <v>45508</v>
      </c>
      <c r="E85">
        <v>1003450</v>
      </c>
      <c r="F85">
        <v>0</v>
      </c>
      <c r="G85">
        <v>0</v>
      </c>
      <c r="H85">
        <v>12031</v>
      </c>
      <c r="I85">
        <v>0</v>
      </c>
      <c r="J85">
        <v>0</v>
      </c>
      <c r="K85">
        <f t="shared" si="1"/>
        <v>2.5510659715388329</v>
      </c>
      <c r="L85">
        <v>33768.65</v>
      </c>
      <c r="M85">
        <v>0</v>
      </c>
      <c r="N85">
        <v>0</v>
      </c>
      <c r="O85">
        <v>404.87400000000002</v>
      </c>
      <c r="P85">
        <v>0</v>
      </c>
      <c r="Q85">
        <v>0</v>
      </c>
      <c r="AX85">
        <v>204.43</v>
      </c>
      <c r="AY85">
        <v>25</v>
      </c>
      <c r="AZ85">
        <v>5.8090000000000002</v>
      </c>
      <c r="BA85">
        <v>3.2120000000000002</v>
      </c>
      <c r="BB85">
        <v>2442.8040000000001</v>
      </c>
      <c r="BC85">
        <v>15</v>
      </c>
      <c r="BD85">
        <v>260.79700000000003</v>
      </c>
      <c r="BE85">
        <v>7.26</v>
      </c>
      <c r="BF85">
        <v>9.5</v>
      </c>
      <c r="BG85">
        <v>37.799999999999997</v>
      </c>
      <c r="BH85">
        <v>47.781999999999996</v>
      </c>
      <c r="BI85">
        <v>0.3</v>
      </c>
      <c r="BJ85">
        <v>70.78</v>
      </c>
      <c r="BK85">
        <v>0.60199999999999998</v>
      </c>
      <c r="BL85">
        <v>30547586</v>
      </c>
    </row>
    <row r="86" spans="1:64" x14ac:dyDescent="0.3">
      <c r="A86" t="s">
        <v>111</v>
      </c>
      <c r="B86" t="s">
        <v>73</v>
      </c>
      <c r="C86" t="s">
        <v>112</v>
      </c>
      <c r="D86" s="1">
        <v>45508</v>
      </c>
      <c r="E86">
        <v>994037</v>
      </c>
      <c r="F86">
        <v>0</v>
      </c>
      <c r="G86">
        <v>0</v>
      </c>
      <c r="H86">
        <v>7118</v>
      </c>
      <c r="I86">
        <v>0</v>
      </c>
      <c r="J86">
        <v>0</v>
      </c>
      <c r="K86">
        <f t="shared" si="1"/>
        <v>0.76594155138632725</v>
      </c>
      <c r="L86">
        <v>108362.68</v>
      </c>
      <c r="M86">
        <v>0</v>
      </c>
      <c r="N86">
        <v>0</v>
      </c>
      <c r="O86">
        <v>775.95299999999997</v>
      </c>
      <c r="P86">
        <v>0</v>
      </c>
      <c r="Q86">
        <v>0</v>
      </c>
      <c r="AX86">
        <v>46.857999999999997</v>
      </c>
      <c r="AY86">
        <v>40.299999999999997</v>
      </c>
      <c r="AZ86">
        <v>14.798999999999999</v>
      </c>
      <c r="BA86">
        <v>9.7880000000000003</v>
      </c>
      <c r="BB86">
        <v>17167.967000000001</v>
      </c>
      <c r="BD86">
        <v>443.12900000000002</v>
      </c>
      <c r="BE86">
        <v>5.18</v>
      </c>
      <c r="BF86">
        <v>10.5</v>
      </c>
      <c r="BG86">
        <v>46.1</v>
      </c>
      <c r="BI86">
        <v>11</v>
      </c>
      <c r="BJ86">
        <v>74.790000000000006</v>
      </c>
      <c r="BK86">
        <v>0.82299999999999995</v>
      </c>
      <c r="BL86">
        <v>9534956</v>
      </c>
    </row>
    <row r="87" spans="1:64" x14ac:dyDescent="0.3">
      <c r="A87" t="s">
        <v>310</v>
      </c>
      <c r="B87" t="s">
        <v>73</v>
      </c>
      <c r="C87" t="s">
        <v>311</v>
      </c>
      <c r="D87" s="1">
        <v>45508</v>
      </c>
      <c r="E87">
        <v>977765</v>
      </c>
      <c r="F87">
        <v>0</v>
      </c>
      <c r="G87">
        <v>0</v>
      </c>
      <c r="H87">
        <v>7475</v>
      </c>
      <c r="I87">
        <v>0</v>
      </c>
      <c r="J87">
        <v>0</v>
      </c>
      <c r="K87">
        <f t="shared" si="1"/>
        <v>3.3458784439112903</v>
      </c>
      <c r="L87">
        <v>519795.25</v>
      </c>
      <c r="M87">
        <v>0</v>
      </c>
      <c r="N87">
        <v>0</v>
      </c>
      <c r="O87">
        <v>3973.828</v>
      </c>
      <c r="P87">
        <v>0</v>
      </c>
      <c r="Q87">
        <v>0</v>
      </c>
      <c r="AX87">
        <v>31.212</v>
      </c>
      <c r="AY87">
        <v>43.9</v>
      </c>
      <c r="AZ87">
        <v>19.754000000000001</v>
      </c>
      <c r="BA87">
        <v>14.135999999999999</v>
      </c>
      <c r="BB87">
        <v>25063.846000000001</v>
      </c>
      <c r="BC87">
        <v>0.7</v>
      </c>
      <c r="BD87">
        <v>350.06</v>
      </c>
      <c r="BE87">
        <v>4.91</v>
      </c>
      <c r="BF87">
        <v>25.6</v>
      </c>
      <c r="BG87">
        <v>51</v>
      </c>
      <c r="BI87">
        <v>5.57</v>
      </c>
      <c r="BJ87">
        <v>75.290000000000006</v>
      </c>
      <c r="BK87">
        <v>0.86599999999999999</v>
      </c>
      <c r="BL87">
        <v>1850654</v>
      </c>
    </row>
    <row r="88" spans="1:64" x14ac:dyDescent="0.3">
      <c r="A88" t="s">
        <v>458</v>
      </c>
      <c r="B88" t="s">
        <v>68</v>
      </c>
      <c r="C88" t="s">
        <v>459</v>
      </c>
      <c r="D88" s="1">
        <v>45508</v>
      </c>
      <c r="E88">
        <v>841469</v>
      </c>
      <c r="F88">
        <v>0</v>
      </c>
      <c r="G88">
        <v>0</v>
      </c>
      <c r="H88">
        <v>9646</v>
      </c>
      <c r="I88">
        <v>0</v>
      </c>
      <c r="J88">
        <v>0</v>
      </c>
      <c r="K88">
        <f t="shared" si="1"/>
        <v>0.2201437635305474</v>
      </c>
      <c r="L88">
        <v>26152.596000000001</v>
      </c>
      <c r="M88">
        <v>0</v>
      </c>
      <c r="N88">
        <v>0</v>
      </c>
      <c r="O88">
        <v>299.79500000000002</v>
      </c>
      <c r="P88">
        <v>0</v>
      </c>
      <c r="Q88">
        <v>0</v>
      </c>
      <c r="AX88">
        <v>15.321999999999999</v>
      </c>
      <c r="AY88">
        <v>31.9</v>
      </c>
      <c r="AZ88">
        <v>3.2949999999999999</v>
      </c>
      <c r="BA88">
        <v>1.845</v>
      </c>
      <c r="BB88">
        <v>49045.411</v>
      </c>
      <c r="BD88">
        <v>259.53800000000001</v>
      </c>
      <c r="BE88">
        <v>17.72</v>
      </c>
      <c r="BF88">
        <v>1.8</v>
      </c>
      <c r="BG88">
        <v>25.4</v>
      </c>
      <c r="BI88">
        <v>2.7</v>
      </c>
      <c r="BJ88">
        <v>75.13</v>
      </c>
      <c r="BK88">
        <v>0.85399999999999998</v>
      </c>
      <c r="BL88">
        <v>36408824</v>
      </c>
    </row>
    <row r="89" spans="1:64" x14ac:dyDescent="0.3">
      <c r="A89" t="s">
        <v>101</v>
      </c>
      <c r="B89" t="s">
        <v>68</v>
      </c>
      <c r="C89" t="s">
        <v>102</v>
      </c>
      <c r="D89" s="1">
        <v>45508</v>
      </c>
      <c r="E89">
        <v>835757</v>
      </c>
      <c r="F89">
        <v>63</v>
      </c>
      <c r="G89">
        <v>9</v>
      </c>
      <c r="H89">
        <v>10353</v>
      </c>
      <c r="I89">
        <v>0</v>
      </c>
      <c r="J89">
        <v>0</v>
      </c>
      <c r="K89">
        <f t="shared" si="1"/>
        <v>0.83727260458968567</v>
      </c>
      <c r="L89">
        <v>81178.445000000007</v>
      </c>
      <c r="M89">
        <v>6.1189999999999998</v>
      </c>
      <c r="N89">
        <v>0.874</v>
      </c>
      <c r="O89">
        <v>1005.604</v>
      </c>
      <c r="P89">
        <v>0</v>
      </c>
      <c r="Q89">
        <v>0</v>
      </c>
      <c r="AX89">
        <v>119.309</v>
      </c>
      <c r="AY89">
        <v>32.4</v>
      </c>
      <c r="AZ89">
        <v>6.0179999999999998</v>
      </c>
      <c r="BA89">
        <v>3.871</v>
      </c>
      <c r="BB89">
        <v>15847.419</v>
      </c>
      <c r="BD89">
        <v>559.81200000000001</v>
      </c>
      <c r="BE89">
        <v>7.11</v>
      </c>
      <c r="BF89">
        <v>0.3</v>
      </c>
      <c r="BG89">
        <v>42.5</v>
      </c>
      <c r="BH89">
        <v>83.241</v>
      </c>
      <c r="BI89">
        <v>4.7</v>
      </c>
      <c r="BJ89">
        <v>73</v>
      </c>
      <c r="BK89">
        <v>0.75600000000000001</v>
      </c>
      <c r="BL89">
        <v>10358078</v>
      </c>
    </row>
    <row r="90" spans="1:64" x14ac:dyDescent="0.3">
      <c r="A90" t="s">
        <v>414</v>
      </c>
      <c r="B90" t="s">
        <v>90</v>
      </c>
      <c r="C90" t="s">
        <v>415</v>
      </c>
      <c r="D90" s="1">
        <v>45508</v>
      </c>
      <c r="E90">
        <v>735759</v>
      </c>
      <c r="F90">
        <v>0</v>
      </c>
      <c r="G90">
        <v>0</v>
      </c>
      <c r="H90">
        <v>19880</v>
      </c>
      <c r="I90">
        <v>0</v>
      </c>
      <c r="J90">
        <v>0</v>
      </c>
      <c r="K90">
        <f t="shared" si="1"/>
        <v>0.73769909328887806</v>
      </c>
      <c r="L90">
        <v>108832.664</v>
      </c>
      <c r="M90">
        <v>0</v>
      </c>
      <c r="N90">
        <v>0</v>
      </c>
      <c r="O90">
        <v>2940.6280000000002</v>
      </c>
      <c r="P90">
        <v>0</v>
      </c>
      <c r="Q90">
        <v>0</v>
      </c>
      <c r="AX90">
        <v>17.143999999999998</v>
      </c>
      <c r="AY90">
        <v>26.5</v>
      </c>
      <c r="AZ90">
        <v>6.3780000000000001</v>
      </c>
      <c r="BA90">
        <v>3.8330000000000002</v>
      </c>
      <c r="BB90">
        <v>8827.01</v>
      </c>
      <c r="BC90">
        <v>1.7</v>
      </c>
      <c r="BD90">
        <v>199.12799999999999</v>
      </c>
      <c r="BE90">
        <v>8.27</v>
      </c>
      <c r="BF90">
        <v>5</v>
      </c>
      <c r="BG90">
        <v>21.6</v>
      </c>
      <c r="BH90">
        <v>79.602000000000004</v>
      </c>
      <c r="BI90">
        <v>1.3</v>
      </c>
      <c r="BJ90">
        <v>74.25</v>
      </c>
      <c r="BK90">
        <v>0.72799999999999998</v>
      </c>
      <c r="BL90">
        <v>6780745</v>
      </c>
    </row>
    <row r="91" spans="1:64" x14ac:dyDescent="0.3">
      <c r="A91" t="s">
        <v>408</v>
      </c>
      <c r="B91" t="s">
        <v>68</v>
      </c>
      <c r="C91" t="s">
        <v>409</v>
      </c>
      <c r="D91" s="1">
        <v>45508</v>
      </c>
      <c r="E91">
        <v>703228</v>
      </c>
      <c r="F91">
        <v>0</v>
      </c>
      <c r="G91">
        <v>0</v>
      </c>
      <c r="H91">
        <v>5708</v>
      </c>
      <c r="I91">
        <v>0</v>
      </c>
      <c r="J91">
        <v>0</v>
      </c>
      <c r="K91">
        <f t="shared" si="1"/>
        <v>0.21117382393679018</v>
      </c>
      <c r="L91">
        <v>132552.62</v>
      </c>
      <c r="M91">
        <v>0</v>
      </c>
      <c r="N91">
        <v>0</v>
      </c>
      <c r="O91">
        <v>1075.9100000000001</v>
      </c>
      <c r="P91">
        <v>0</v>
      </c>
      <c r="Q91">
        <v>0</v>
      </c>
      <c r="AX91">
        <v>778.202</v>
      </c>
      <c r="AY91">
        <v>20.399999999999999</v>
      </c>
      <c r="AZ91">
        <v>3.0430000000000001</v>
      </c>
      <c r="BA91">
        <v>1.726</v>
      </c>
      <c r="BB91">
        <v>4449.8980000000001</v>
      </c>
      <c r="BC91">
        <v>1</v>
      </c>
      <c r="BD91">
        <v>265.91000000000003</v>
      </c>
      <c r="BE91">
        <v>10.59</v>
      </c>
      <c r="BJ91">
        <v>74.05</v>
      </c>
      <c r="BK91">
        <v>0.70799999999999996</v>
      </c>
      <c r="BL91">
        <v>5250076</v>
      </c>
    </row>
    <row r="92" spans="1:64" x14ac:dyDescent="0.3">
      <c r="A92" t="s">
        <v>105</v>
      </c>
      <c r="B92" t="s">
        <v>68</v>
      </c>
      <c r="C92" t="s">
        <v>106</v>
      </c>
      <c r="D92" s="1">
        <v>45508</v>
      </c>
      <c r="E92">
        <v>696614</v>
      </c>
      <c r="F92">
        <v>0</v>
      </c>
      <c r="G92">
        <v>0</v>
      </c>
      <c r="H92">
        <v>1536</v>
      </c>
      <c r="I92">
        <v>0</v>
      </c>
      <c r="J92">
        <v>0</v>
      </c>
      <c r="K92">
        <f t="shared" si="1"/>
        <v>1.1989635756639594</v>
      </c>
      <c r="L92">
        <v>454276.25</v>
      </c>
      <c r="M92">
        <v>0</v>
      </c>
      <c r="N92">
        <v>0</v>
      </c>
      <c r="O92">
        <v>1001.657</v>
      </c>
      <c r="P92">
        <v>0</v>
      </c>
      <c r="Q92">
        <v>0</v>
      </c>
      <c r="AX92">
        <v>1935.9069999999999</v>
      </c>
      <c r="AY92">
        <v>32.4</v>
      </c>
      <c r="AZ92">
        <v>2.3719999999999999</v>
      </c>
      <c r="BA92">
        <v>1.387</v>
      </c>
      <c r="BB92">
        <v>43290.705000000002</v>
      </c>
      <c r="BD92">
        <v>151.68899999999999</v>
      </c>
      <c r="BE92">
        <v>16.52</v>
      </c>
      <c r="BF92">
        <v>5.8</v>
      </c>
      <c r="BG92">
        <v>37.6</v>
      </c>
      <c r="BI92">
        <v>2</v>
      </c>
      <c r="BJ92">
        <v>77.290000000000006</v>
      </c>
      <c r="BK92">
        <v>0.85199999999999998</v>
      </c>
      <c r="BL92">
        <v>1472237</v>
      </c>
    </row>
    <row r="93" spans="1:64" x14ac:dyDescent="0.3">
      <c r="A93" t="s">
        <v>179</v>
      </c>
      <c r="B93" t="s">
        <v>73</v>
      </c>
      <c r="C93" t="s">
        <v>180</v>
      </c>
      <c r="D93" s="1">
        <v>45508</v>
      </c>
      <c r="E93">
        <v>696410</v>
      </c>
      <c r="F93">
        <v>0</v>
      </c>
      <c r="G93">
        <v>0</v>
      </c>
      <c r="H93">
        <v>1451</v>
      </c>
      <c r="I93">
        <v>0</v>
      </c>
      <c r="J93">
        <v>0</v>
      </c>
      <c r="K93">
        <f t="shared" si="1"/>
        <v>0.71606992496255173</v>
      </c>
      <c r="L93">
        <v>523075.38</v>
      </c>
      <c r="M93">
        <v>0</v>
      </c>
      <c r="N93">
        <v>0</v>
      </c>
      <c r="O93">
        <v>1089.8499999999999</v>
      </c>
      <c r="P93">
        <v>0</v>
      </c>
      <c r="Q93">
        <v>0</v>
      </c>
      <c r="AX93">
        <v>127.657</v>
      </c>
      <c r="AY93">
        <v>37.299999999999997</v>
      </c>
      <c r="AZ93">
        <v>13.416</v>
      </c>
      <c r="BA93">
        <v>8.5630000000000006</v>
      </c>
      <c r="BB93">
        <v>32415.132000000001</v>
      </c>
      <c r="BD93">
        <v>141.17099999999999</v>
      </c>
      <c r="BE93">
        <v>9.24</v>
      </c>
      <c r="BF93">
        <v>19.600000000000001</v>
      </c>
      <c r="BG93">
        <v>52.7</v>
      </c>
      <c r="BI93">
        <v>3.4</v>
      </c>
      <c r="BJ93">
        <v>80.98</v>
      </c>
      <c r="BK93">
        <v>0.88700000000000001</v>
      </c>
      <c r="BL93">
        <v>896007</v>
      </c>
    </row>
    <row r="94" spans="1:64" x14ac:dyDescent="0.3">
      <c r="A94" t="s">
        <v>489</v>
      </c>
      <c r="B94" t="s">
        <v>68</v>
      </c>
      <c r="C94" t="s">
        <v>490</v>
      </c>
      <c r="D94" s="1">
        <v>45508</v>
      </c>
      <c r="E94">
        <v>672798</v>
      </c>
      <c r="F94">
        <v>1</v>
      </c>
      <c r="G94">
        <v>0.14299999999999999</v>
      </c>
      <c r="H94">
        <v>16907</v>
      </c>
      <c r="I94">
        <v>0</v>
      </c>
      <c r="J94">
        <v>0</v>
      </c>
      <c r="K94">
        <f t="shared" si="1"/>
        <v>0.76449862697069337</v>
      </c>
      <c r="L94">
        <v>29463.502</v>
      </c>
      <c r="M94">
        <v>4.3999999999999997E-2</v>
      </c>
      <c r="N94">
        <v>6.0000000000000001E-3</v>
      </c>
      <c r="O94">
        <v>740.4</v>
      </c>
      <c r="P94">
        <v>0</v>
      </c>
      <c r="Q94">
        <v>0</v>
      </c>
      <c r="AX94">
        <v>341.95499999999998</v>
      </c>
      <c r="AY94">
        <v>34.1</v>
      </c>
      <c r="AZ94">
        <v>10.069000000000001</v>
      </c>
      <c r="BA94">
        <v>5.3310000000000004</v>
      </c>
      <c r="BB94">
        <v>11669.076999999999</v>
      </c>
      <c r="BC94">
        <v>0.7</v>
      </c>
      <c r="BD94">
        <v>197.09299999999999</v>
      </c>
      <c r="BE94">
        <v>10.68</v>
      </c>
      <c r="BF94">
        <v>0.3</v>
      </c>
      <c r="BG94">
        <v>27</v>
      </c>
      <c r="BI94">
        <v>3.6</v>
      </c>
      <c r="BJ94">
        <v>76.98</v>
      </c>
      <c r="BK94">
        <v>0.78200000000000003</v>
      </c>
      <c r="BL94">
        <v>21832150</v>
      </c>
    </row>
    <row r="95" spans="1:64" x14ac:dyDescent="0.3">
      <c r="A95" t="s">
        <v>304</v>
      </c>
      <c r="B95" t="s">
        <v>68</v>
      </c>
      <c r="C95" t="s">
        <v>305</v>
      </c>
      <c r="D95" s="1">
        <v>45508</v>
      </c>
      <c r="E95">
        <v>667290</v>
      </c>
      <c r="F95">
        <v>0</v>
      </c>
      <c r="G95">
        <v>0</v>
      </c>
      <c r="H95">
        <v>2570</v>
      </c>
      <c r="I95">
        <v>0</v>
      </c>
      <c r="J95">
        <v>0</v>
      </c>
      <c r="K95">
        <f t="shared" si="1"/>
        <v>1.1463286229201552</v>
      </c>
      <c r="L95">
        <v>145394.48000000001</v>
      </c>
      <c r="M95">
        <v>0</v>
      </c>
      <c r="N95">
        <v>0</v>
      </c>
      <c r="O95">
        <v>559.97199999999998</v>
      </c>
      <c r="P95">
        <v>0</v>
      </c>
      <c r="Q95">
        <v>0</v>
      </c>
      <c r="AX95">
        <v>232.12799999999999</v>
      </c>
      <c r="AY95">
        <v>33.700000000000003</v>
      </c>
      <c r="AZ95">
        <v>2.3450000000000002</v>
      </c>
      <c r="BA95">
        <v>1.1140000000000001</v>
      </c>
      <c r="BB95">
        <v>65530.536999999997</v>
      </c>
      <c r="BD95">
        <v>132.23500000000001</v>
      </c>
      <c r="BE95">
        <v>15.84</v>
      </c>
      <c r="BF95">
        <v>2.7</v>
      </c>
      <c r="BG95">
        <v>37</v>
      </c>
      <c r="BI95">
        <v>2</v>
      </c>
      <c r="BJ95">
        <v>75.489999999999995</v>
      </c>
      <c r="BK95">
        <v>0.80600000000000005</v>
      </c>
      <c r="BL95">
        <v>4268886</v>
      </c>
    </row>
    <row r="96" spans="1:64" x14ac:dyDescent="0.3">
      <c r="A96" t="s">
        <v>191</v>
      </c>
      <c r="B96" t="s">
        <v>85</v>
      </c>
      <c r="C96" t="s">
        <v>192</v>
      </c>
      <c r="D96" s="1">
        <v>45508</v>
      </c>
      <c r="E96">
        <v>661103</v>
      </c>
      <c r="F96">
        <v>0</v>
      </c>
      <c r="G96">
        <v>0</v>
      </c>
      <c r="H96">
        <v>4384</v>
      </c>
      <c r="I96">
        <v>0</v>
      </c>
      <c r="J96">
        <v>0</v>
      </c>
      <c r="K96">
        <f t="shared" si="1"/>
        <v>1.2387571985636974</v>
      </c>
      <c r="L96">
        <v>58865.52</v>
      </c>
      <c r="M96">
        <v>0</v>
      </c>
      <c r="N96">
        <v>0</v>
      </c>
      <c r="O96">
        <v>390.35700000000003</v>
      </c>
      <c r="P96">
        <v>0</v>
      </c>
      <c r="Q96">
        <v>0</v>
      </c>
      <c r="AX96">
        <v>222.87299999999999</v>
      </c>
      <c r="AY96">
        <v>27.6</v>
      </c>
      <c r="AZ96">
        <v>6.9809999999999999</v>
      </c>
      <c r="BA96">
        <v>4.4189999999999996</v>
      </c>
      <c r="BB96">
        <v>14600.861000000001</v>
      </c>
      <c r="BC96">
        <v>1.6</v>
      </c>
      <c r="BD96">
        <v>266.65300000000002</v>
      </c>
      <c r="BE96">
        <v>8.1999999999999993</v>
      </c>
      <c r="BF96">
        <v>8.5</v>
      </c>
      <c r="BG96">
        <v>19.100000000000001</v>
      </c>
      <c r="BH96">
        <v>55.182000000000002</v>
      </c>
      <c r="BI96">
        <v>1.6</v>
      </c>
      <c r="BJ96">
        <v>74.08</v>
      </c>
      <c r="BK96">
        <v>0.75600000000000001</v>
      </c>
      <c r="BL96">
        <v>11228821</v>
      </c>
    </row>
    <row r="97" spans="1:68" x14ac:dyDescent="0.3">
      <c r="A97" t="s">
        <v>370</v>
      </c>
      <c r="B97" t="s">
        <v>68</v>
      </c>
      <c r="C97" t="s">
        <v>371</v>
      </c>
      <c r="D97" s="1">
        <v>45508</v>
      </c>
      <c r="E97">
        <v>642885</v>
      </c>
      <c r="F97">
        <v>26</v>
      </c>
      <c r="G97">
        <v>3.714</v>
      </c>
      <c r="H97">
        <v>19494</v>
      </c>
      <c r="I97">
        <v>0</v>
      </c>
      <c r="J97">
        <v>0</v>
      </c>
      <c r="K97">
        <f t="shared" si="1"/>
        <v>2.701971705408972</v>
      </c>
      <c r="L97">
        <v>11959.141</v>
      </c>
      <c r="M97">
        <v>0.48399999999999999</v>
      </c>
      <c r="N97">
        <v>6.9000000000000006E-2</v>
      </c>
      <c r="O97">
        <v>362.63299999999998</v>
      </c>
      <c r="P97">
        <v>0</v>
      </c>
      <c r="Q97">
        <v>0</v>
      </c>
      <c r="AX97">
        <v>81.721000000000004</v>
      </c>
      <c r="AY97">
        <v>29.1</v>
      </c>
      <c r="AZ97">
        <v>5.7320000000000002</v>
      </c>
      <c r="BA97">
        <v>3.12</v>
      </c>
      <c r="BB97">
        <v>5591.5969999999998</v>
      </c>
      <c r="BC97">
        <v>6.4</v>
      </c>
      <c r="BD97">
        <v>202.10400000000001</v>
      </c>
      <c r="BE97">
        <v>4.6100000000000003</v>
      </c>
      <c r="BF97">
        <v>6.3</v>
      </c>
      <c r="BG97">
        <v>35.200000000000003</v>
      </c>
      <c r="BH97">
        <v>79.287000000000006</v>
      </c>
      <c r="BI97">
        <v>0.9</v>
      </c>
      <c r="BJ97">
        <v>67.13</v>
      </c>
      <c r="BK97">
        <v>0.58299999999999996</v>
      </c>
      <c r="BL97">
        <v>54179312</v>
      </c>
    </row>
    <row r="98" spans="1:68" x14ac:dyDescent="0.3">
      <c r="A98" t="s">
        <v>356</v>
      </c>
      <c r="B98" t="s">
        <v>73</v>
      </c>
      <c r="C98" t="s">
        <v>357</v>
      </c>
      <c r="D98" s="1">
        <v>45508</v>
      </c>
      <c r="E98">
        <v>637520</v>
      </c>
      <c r="F98">
        <v>743</v>
      </c>
      <c r="G98">
        <v>106.143</v>
      </c>
      <c r="H98">
        <v>12245</v>
      </c>
      <c r="I98">
        <v>2</v>
      </c>
      <c r="J98">
        <v>0.28599999999999998</v>
      </c>
      <c r="K98">
        <f t="shared" si="1"/>
        <v>0.81168554153133832</v>
      </c>
      <c r="L98">
        <v>209711.42</v>
      </c>
      <c r="M98">
        <v>244.40899999999999</v>
      </c>
      <c r="N98">
        <v>34.915999999999997</v>
      </c>
      <c r="O98">
        <v>4027.9780000000001</v>
      </c>
      <c r="P98">
        <v>0.65800000000000003</v>
      </c>
      <c r="Q98">
        <v>9.4E-2</v>
      </c>
      <c r="AX98">
        <v>123.655</v>
      </c>
      <c r="AY98">
        <v>37.6</v>
      </c>
      <c r="AZ98">
        <v>10.864000000000001</v>
      </c>
      <c r="BA98">
        <v>6.9550000000000001</v>
      </c>
      <c r="BB98">
        <v>5189.9719999999998</v>
      </c>
      <c r="BC98">
        <v>0.2</v>
      </c>
      <c r="BD98">
        <v>408.50200000000001</v>
      </c>
      <c r="BE98">
        <v>5.72</v>
      </c>
      <c r="BF98">
        <v>5.9</v>
      </c>
      <c r="BG98">
        <v>44.6</v>
      </c>
      <c r="BH98">
        <v>86.978999999999999</v>
      </c>
      <c r="BI98">
        <v>5.8</v>
      </c>
      <c r="BJ98">
        <v>71.900000000000006</v>
      </c>
      <c r="BK98">
        <v>0.75</v>
      </c>
      <c r="BL98">
        <v>3272993</v>
      </c>
    </row>
    <row r="99" spans="1:68" x14ac:dyDescent="0.3">
      <c r="A99" t="s">
        <v>205</v>
      </c>
      <c r="B99" t="s">
        <v>73</v>
      </c>
      <c r="C99" t="s">
        <v>206</v>
      </c>
      <c r="D99" s="1">
        <v>45516</v>
      </c>
      <c r="E99">
        <v>610471</v>
      </c>
      <c r="F99">
        <v>0</v>
      </c>
      <c r="G99">
        <v>0</v>
      </c>
      <c r="H99">
        <v>2998</v>
      </c>
      <c r="I99">
        <v>0</v>
      </c>
      <c r="J99">
        <v>0</v>
      </c>
      <c r="K99">
        <f t="shared" si="1"/>
        <v>0.22049513790994724</v>
      </c>
      <c r="L99">
        <v>452169.94</v>
      </c>
      <c r="M99">
        <v>0</v>
      </c>
      <c r="N99">
        <v>0</v>
      </c>
      <c r="O99">
        <v>2220.5889999999999</v>
      </c>
      <c r="P99">
        <v>0</v>
      </c>
      <c r="Q99">
        <v>0</v>
      </c>
      <c r="AJ99">
        <v>2171623</v>
      </c>
      <c r="AK99">
        <v>870213</v>
      </c>
      <c r="AL99">
        <v>862748</v>
      </c>
      <c r="AM99">
        <v>659459</v>
      </c>
      <c r="AN99">
        <v>9</v>
      </c>
      <c r="AO99">
        <v>15</v>
      </c>
      <c r="AP99">
        <v>163.76</v>
      </c>
      <c r="AQ99">
        <v>65.62</v>
      </c>
      <c r="AR99">
        <v>65.06</v>
      </c>
      <c r="AS99">
        <v>49.73</v>
      </c>
      <c r="AT99">
        <v>11</v>
      </c>
      <c r="AU99">
        <v>2</v>
      </c>
      <c r="AV99">
        <v>0</v>
      </c>
      <c r="AX99">
        <v>31.033000000000001</v>
      </c>
      <c r="AY99">
        <v>42.7</v>
      </c>
      <c r="AZ99">
        <v>19.452000000000002</v>
      </c>
      <c r="BA99">
        <v>13.491</v>
      </c>
      <c r="BB99">
        <v>29481.252</v>
      </c>
      <c r="BC99">
        <v>0.5</v>
      </c>
      <c r="BD99">
        <v>255.56899999999999</v>
      </c>
      <c r="BE99">
        <v>4.0199999999999996</v>
      </c>
      <c r="BF99">
        <v>24.5</v>
      </c>
      <c r="BG99">
        <v>39.299999999999997</v>
      </c>
      <c r="BI99">
        <v>4.6900000000000004</v>
      </c>
      <c r="BJ99">
        <v>78.739999999999995</v>
      </c>
      <c r="BK99">
        <v>0.89200000000000002</v>
      </c>
      <c r="BL99">
        <v>1326064</v>
      </c>
    </row>
    <row r="100" spans="1:68" x14ac:dyDescent="0.3">
      <c r="A100" t="s">
        <v>547</v>
      </c>
      <c r="B100" t="s">
        <v>90</v>
      </c>
      <c r="C100" t="s">
        <v>548</v>
      </c>
      <c r="D100" s="1">
        <v>45508</v>
      </c>
      <c r="E100">
        <v>552695</v>
      </c>
      <c r="F100">
        <v>0</v>
      </c>
      <c r="G100">
        <v>0</v>
      </c>
      <c r="H100">
        <v>5856</v>
      </c>
      <c r="I100">
        <v>0</v>
      </c>
      <c r="J100">
        <v>0</v>
      </c>
      <c r="K100">
        <f t="shared" si="1"/>
        <v>0.20835427406269294</v>
      </c>
      <c r="L100">
        <v>19590.072</v>
      </c>
      <c r="M100">
        <v>0</v>
      </c>
      <c r="N100">
        <v>0</v>
      </c>
      <c r="O100">
        <v>207.56399999999999</v>
      </c>
      <c r="P100">
        <v>0</v>
      </c>
      <c r="Q100">
        <v>0</v>
      </c>
      <c r="AX100">
        <v>36.253</v>
      </c>
      <c r="AY100">
        <v>29</v>
      </c>
      <c r="AZ100">
        <v>6.6139999999999999</v>
      </c>
      <c r="BA100">
        <v>3.915</v>
      </c>
      <c r="BB100">
        <v>16745.022000000001</v>
      </c>
      <c r="BD100">
        <v>204.85</v>
      </c>
      <c r="BE100">
        <v>6.47</v>
      </c>
      <c r="BI100">
        <v>0.8</v>
      </c>
      <c r="BJ100">
        <v>72.06</v>
      </c>
      <c r="BK100">
        <v>0.71099999999999997</v>
      </c>
      <c r="BL100">
        <v>28301700</v>
      </c>
    </row>
    <row r="101" spans="1:68" x14ac:dyDescent="0.3">
      <c r="A101" t="s">
        <v>197</v>
      </c>
      <c r="B101" t="s">
        <v>71</v>
      </c>
      <c r="C101" t="s">
        <v>198</v>
      </c>
      <c r="D101" s="1">
        <v>45508</v>
      </c>
      <c r="E101">
        <v>516023</v>
      </c>
      <c r="F101">
        <v>0</v>
      </c>
      <c r="G101">
        <v>0</v>
      </c>
      <c r="H101">
        <v>24830</v>
      </c>
      <c r="I101">
        <v>0</v>
      </c>
      <c r="J101">
        <v>0</v>
      </c>
      <c r="K101">
        <f t="shared" si="1"/>
        <v>2.5129385045734383</v>
      </c>
      <c r="L101">
        <v>4582.0540000000001</v>
      </c>
      <c r="M101">
        <v>0</v>
      </c>
      <c r="N101">
        <v>0</v>
      </c>
      <c r="O101">
        <v>220.47900000000001</v>
      </c>
      <c r="P101">
        <v>0</v>
      </c>
      <c r="Q101">
        <v>0</v>
      </c>
      <c r="AX101">
        <v>97.998999999999995</v>
      </c>
      <c r="AY101">
        <v>25.3</v>
      </c>
      <c r="AZ101">
        <v>5.1589999999999998</v>
      </c>
      <c r="BA101">
        <v>2.891</v>
      </c>
      <c r="BB101">
        <v>10550.206</v>
      </c>
      <c r="BC101">
        <v>1.3</v>
      </c>
      <c r="BD101">
        <v>525.43200000000002</v>
      </c>
      <c r="BE101">
        <v>17.309999999999999</v>
      </c>
      <c r="BF101">
        <v>0.2</v>
      </c>
      <c r="BG101">
        <v>50.1</v>
      </c>
      <c r="BH101">
        <v>89.826999999999998</v>
      </c>
      <c r="BI101">
        <v>1.6</v>
      </c>
      <c r="BJ101">
        <v>71.989999999999995</v>
      </c>
      <c r="BK101">
        <v>0.70699999999999996</v>
      </c>
      <c r="BL101">
        <v>110990096</v>
      </c>
    </row>
    <row r="102" spans="1:68" x14ac:dyDescent="0.3">
      <c r="A102" t="s">
        <v>428</v>
      </c>
      <c r="B102" t="s">
        <v>68</v>
      </c>
      <c r="C102" t="s">
        <v>429</v>
      </c>
      <c r="D102" s="1">
        <v>45508</v>
      </c>
      <c r="E102">
        <v>514524</v>
      </c>
      <c r="F102">
        <v>0</v>
      </c>
      <c r="G102">
        <v>0</v>
      </c>
      <c r="H102">
        <v>690</v>
      </c>
      <c r="I102">
        <v>0</v>
      </c>
      <c r="J102">
        <v>0</v>
      </c>
      <c r="K102">
        <f t="shared" si="1"/>
        <v>0.38513989419892397</v>
      </c>
      <c r="L102">
        <v>177884.27</v>
      </c>
      <c r="M102">
        <v>0</v>
      </c>
      <c r="N102">
        <v>0</v>
      </c>
      <c r="O102">
        <v>238.55099999999999</v>
      </c>
      <c r="P102">
        <v>0</v>
      </c>
      <c r="Q102">
        <v>0</v>
      </c>
      <c r="AX102">
        <v>227.322</v>
      </c>
      <c r="AY102">
        <v>31.9</v>
      </c>
      <c r="AZ102">
        <v>1.3069999999999999</v>
      </c>
      <c r="BA102">
        <v>0.61699999999999999</v>
      </c>
      <c r="BB102">
        <v>116935.6</v>
      </c>
      <c r="BD102">
        <v>176.69</v>
      </c>
      <c r="BE102">
        <v>16.52</v>
      </c>
      <c r="BF102">
        <v>0.8</v>
      </c>
      <c r="BG102">
        <v>26.9</v>
      </c>
      <c r="BI102">
        <v>1.2</v>
      </c>
      <c r="BJ102">
        <v>80.23</v>
      </c>
      <c r="BK102">
        <v>0.84799999999999998</v>
      </c>
      <c r="BL102">
        <v>2695131</v>
      </c>
    </row>
    <row r="103" spans="1:68" s="3" customFormat="1" x14ac:dyDescent="0.3">
      <c r="A103" t="s">
        <v>318</v>
      </c>
      <c r="B103" t="s">
        <v>71</v>
      </c>
      <c r="C103" t="s">
        <v>319</v>
      </c>
      <c r="D103" s="1">
        <v>45508</v>
      </c>
      <c r="E103">
        <v>507269</v>
      </c>
      <c r="F103">
        <v>0</v>
      </c>
      <c r="G103">
        <v>0</v>
      </c>
      <c r="H103">
        <v>6437</v>
      </c>
      <c r="I103">
        <v>0</v>
      </c>
      <c r="J103">
        <v>0</v>
      </c>
      <c r="K103">
        <f t="shared" si="1"/>
        <v>0.66313418635220223</v>
      </c>
      <c r="L103">
        <v>70221.87</v>
      </c>
      <c r="M103">
        <v>0</v>
      </c>
      <c r="N103">
        <v>0</v>
      </c>
      <c r="O103">
        <v>891.08199999999999</v>
      </c>
      <c r="P103">
        <v>0</v>
      </c>
      <c r="Q103">
        <v>0</v>
      </c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3.6230000000000002</v>
      </c>
      <c r="AY103">
        <v>29</v>
      </c>
      <c r="AZ103">
        <v>4.4240000000000004</v>
      </c>
      <c r="BA103">
        <v>2.8159999999999998</v>
      </c>
      <c r="BB103">
        <v>17881.508999999998</v>
      </c>
      <c r="BC103"/>
      <c r="BD103">
        <v>341.86200000000002</v>
      </c>
      <c r="BE103">
        <v>10.43</v>
      </c>
      <c r="BF103"/>
      <c r="BG103"/>
      <c r="BH103"/>
      <c r="BI103">
        <v>3.7</v>
      </c>
      <c r="BJ103">
        <v>72.91</v>
      </c>
      <c r="BK103">
        <v>0.72399999999999998</v>
      </c>
      <c r="BL103">
        <v>6812344</v>
      </c>
      <c r="BM103"/>
      <c r="BN103"/>
      <c r="BO103"/>
      <c r="BP103"/>
    </row>
    <row r="104" spans="1:68" s="3" customFormat="1" ht="39" customHeight="1" x14ac:dyDescent="0.3">
      <c r="A104" t="s">
        <v>209</v>
      </c>
      <c r="B104" t="s">
        <v>71</v>
      </c>
      <c r="C104" t="s">
        <v>210</v>
      </c>
      <c r="D104" s="1">
        <v>45508</v>
      </c>
      <c r="E104">
        <v>501193</v>
      </c>
      <c r="F104">
        <v>0</v>
      </c>
      <c r="G104">
        <v>0</v>
      </c>
      <c r="H104">
        <v>7574</v>
      </c>
      <c r="I104">
        <v>0</v>
      </c>
      <c r="J104">
        <v>0</v>
      </c>
      <c r="K104">
        <f t="shared" si="1"/>
        <v>3.0322686016939269</v>
      </c>
      <c r="L104">
        <v>3997.2550000000001</v>
      </c>
      <c r="M104">
        <v>0</v>
      </c>
      <c r="N104">
        <v>0</v>
      </c>
      <c r="O104">
        <v>60.405999999999999</v>
      </c>
      <c r="P104">
        <v>0</v>
      </c>
      <c r="Q104">
        <v>0</v>
      </c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104.95699999999999</v>
      </c>
      <c r="AY104">
        <v>19.8</v>
      </c>
      <c r="AZ104">
        <v>3.5259999999999998</v>
      </c>
      <c r="BA104">
        <v>2.0630000000000002</v>
      </c>
      <c r="BB104">
        <v>1729.9269999999999</v>
      </c>
      <c r="BC104">
        <v>26.7</v>
      </c>
      <c r="BD104">
        <v>182.63399999999999</v>
      </c>
      <c r="BE104">
        <v>7.47</v>
      </c>
      <c r="BF104">
        <v>0.4</v>
      </c>
      <c r="BG104">
        <v>8.5</v>
      </c>
      <c r="BH104">
        <v>7.96</v>
      </c>
      <c r="BI104">
        <v>0.3</v>
      </c>
      <c r="BJ104">
        <v>66.599999999999994</v>
      </c>
      <c r="BK104">
        <v>0.48499999999999999</v>
      </c>
      <c r="BL104">
        <v>123379928</v>
      </c>
      <c r="BM104"/>
      <c r="BN104"/>
      <c r="BO104"/>
      <c r="BP104"/>
    </row>
    <row r="105" spans="1:68" x14ac:dyDescent="0.3">
      <c r="A105" t="s">
        <v>430</v>
      </c>
      <c r="B105" t="s">
        <v>71</v>
      </c>
      <c r="C105" t="s">
        <v>431</v>
      </c>
      <c r="D105" s="1">
        <v>45508</v>
      </c>
      <c r="E105">
        <v>494595</v>
      </c>
      <c r="F105">
        <v>0</v>
      </c>
      <c r="G105">
        <v>0</v>
      </c>
      <c r="H105">
        <v>921</v>
      </c>
      <c r="I105">
        <v>0</v>
      </c>
      <c r="J105">
        <v>0</v>
      </c>
      <c r="K105">
        <f t="shared" si="1"/>
        <v>1.9207240557158989</v>
      </c>
      <c r="L105">
        <v>567494.19999999995</v>
      </c>
      <c r="M105">
        <v>0</v>
      </c>
      <c r="N105">
        <v>0</v>
      </c>
      <c r="O105">
        <v>1056.748</v>
      </c>
      <c r="P105">
        <v>0</v>
      </c>
      <c r="Q105">
        <v>0</v>
      </c>
      <c r="AY105">
        <v>36</v>
      </c>
      <c r="BA105">
        <v>6.8410000000000002</v>
      </c>
      <c r="BJ105">
        <v>80.48</v>
      </c>
      <c r="BL105">
        <v>974062</v>
      </c>
    </row>
    <row r="106" spans="1:68" x14ac:dyDescent="0.3">
      <c r="A106" t="s">
        <v>264</v>
      </c>
      <c r="B106" t="s">
        <v>85</v>
      </c>
      <c r="C106" t="s">
        <v>265</v>
      </c>
      <c r="D106" s="1">
        <v>45508</v>
      </c>
      <c r="E106">
        <v>472896</v>
      </c>
      <c r="F106">
        <v>1</v>
      </c>
      <c r="G106">
        <v>0.14299999999999999</v>
      </c>
      <c r="H106">
        <v>11114</v>
      </c>
      <c r="I106">
        <v>0</v>
      </c>
      <c r="J106">
        <v>0</v>
      </c>
      <c r="K106">
        <f t="shared" si="1"/>
        <v>0.49109621914882112</v>
      </c>
      <c r="L106">
        <v>45193.175999999999</v>
      </c>
      <c r="M106">
        <v>9.6000000000000002E-2</v>
      </c>
      <c r="N106">
        <v>1.4E-2</v>
      </c>
      <c r="O106">
        <v>1062.1300000000001</v>
      </c>
      <c r="P106">
        <v>0</v>
      </c>
      <c r="Q106">
        <v>0</v>
      </c>
      <c r="AX106">
        <v>82.805000000000007</v>
      </c>
      <c r="AY106">
        <v>24.9</v>
      </c>
      <c r="AZ106">
        <v>4.6520000000000001</v>
      </c>
      <c r="BA106">
        <v>2.883</v>
      </c>
      <c r="BB106">
        <v>4541.7950000000001</v>
      </c>
      <c r="BC106">
        <v>16</v>
      </c>
      <c r="BD106">
        <v>240.208</v>
      </c>
      <c r="BE106">
        <v>7.21</v>
      </c>
      <c r="BF106">
        <v>2</v>
      </c>
      <c r="BH106">
        <v>84.168999999999997</v>
      </c>
      <c r="BI106">
        <v>0.7</v>
      </c>
      <c r="BJ106">
        <v>75.27</v>
      </c>
      <c r="BK106">
        <v>0.63400000000000001</v>
      </c>
      <c r="BL106">
        <v>10432858</v>
      </c>
    </row>
    <row r="107" spans="1:68" x14ac:dyDescent="0.3">
      <c r="A107" t="s">
        <v>92</v>
      </c>
      <c r="B107" t="s">
        <v>68</v>
      </c>
      <c r="C107" t="s">
        <v>93</v>
      </c>
      <c r="D107" s="1">
        <v>45508</v>
      </c>
      <c r="E107">
        <v>452273</v>
      </c>
      <c r="F107">
        <v>0</v>
      </c>
      <c r="G107">
        <v>0</v>
      </c>
      <c r="H107">
        <v>8777</v>
      </c>
      <c r="I107">
        <v>0</v>
      </c>
      <c r="J107">
        <v>0</v>
      </c>
      <c r="K107">
        <f t="shared" si="1"/>
        <v>1.0595355485394296</v>
      </c>
      <c r="L107">
        <v>156991.10999999999</v>
      </c>
      <c r="M107">
        <v>0</v>
      </c>
      <c r="N107">
        <v>0</v>
      </c>
      <c r="O107">
        <v>3046.6350000000002</v>
      </c>
      <c r="P107">
        <v>0</v>
      </c>
      <c r="Q107">
        <v>0</v>
      </c>
      <c r="AX107">
        <v>102.931</v>
      </c>
      <c r="AY107">
        <v>35.700000000000003</v>
      </c>
      <c r="AZ107">
        <v>11.231999999999999</v>
      </c>
      <c r="BA107">
        <v>7.5709999999999997</v>
      </c>
      <c r="BB107">
        <v>8787.58</v>
      </c>
      <c r="BC107">
        <v>1.8</v>
      </c>
      <c r="BD107">
        <v>341.01</v>
      </c>
      <c r="BE107">
        <v>7.11</v>
      </c>
      <c r="BF107">
        <v>1.5</v>
      </c>
      <c r="BG107">
        <v>52.1</v>
      </c>
      <c r="BH107">
        <v>94.043000000000006</v>
      </c>
      <c r="BI107">
        <v>4.2</v>
      </c>
      <c r="BJ107">
        <v>75.09</v>
      </c>
      <c r="BK107">
        <v>0.77600000000000002</v>
      </c>
      <c r="BL107">
        <v>2780472</v>
      </c>
    </row>
    <row r="108" spans="1:68" x14ac:dyDescent="0.3">
      <c r="A108" t="s">
        <v>127</v>
      </c>
      <c r="B108" t="s">
        <v>73</v>
      </c>
      <c r="C108" t="s">
        <v>128</v>
      </c>
      <c r="D108" s="1">
        <v>45508</v>
      </c>
      <c r="E108">
        <v>403666</v>
      </c>
      <c r="F108">
        <v>0</v>
      </c>
      <c r="G108">
        <v>0</v>
      </c>
      <c r="H108">
        <v>16392</v>
      </c>
      <c r="I108">
        <v>0</v>
      </c>
      <c r="J108">
        <v>0</v>
      </c>
      <c r="K108">
        <f t="shared" si="1"/>
        <v>4.8118010243729445</v>
      </c>
      <c r="L108">
        <v>125956.49</v>
      </c>
      <c r="M108">
        <v>0</v>
      </c>
      <c r="N108">
        <v>0</v>
      </c>
      <c r="O108">
        <v>5114.82</v>
      </c>
      <c r="P108">
        <v>0</v>
      </c>
      <c r="Q108">
        <v>0</v>
      </c>
      <c r="AX108">
        <v>68.495999999999995</v>
      </c>
      <c r="AY108">
        <v>42.5</v>
      </c>
      <c r="AZ108">
        <v>16.568999999999999</v>
      </c>
      <c r="BA108">
        <v>10.711</v>
      </c>
      <c r="BB108">
        <v>11713.895</v>
      </c>
      <c r="BC108">
        <v>0.2</v>
      </c>
      <c r="BD108">
        <v>329.63499999999999</v>
      </c>
      <c r="BE108">
        <v>10.08</v>
      </c>
      <c r="BF108">
        <v>30.2</v>
      </c>
      <c r="BG108">
        <v>47.7</v>
      </c>
      <c r="BH108">
        <v>97.164000000000001</v>
      </c>
      <c r="BI108">
        <v>3.5</v>
      </c>
      <c r="BJ108">
        <v>77.400000000000006</v>
      </c>
      <c r="BK108">
        <v>0.78</v>
      </c>
      <c r="BL108">
        <v>3233530</v>
      </c>
    </row>
    <row r="109" spans="1:68" x14ac:dyDescent="0.3">
      <c r="A109" t="s">
        <v>402</v>
      </c>
      <c r="B109" t="s">
        <v>68</v>
      </c>
      <c r="C109" t="s">
        <v>403</v>
      </c>
      <c r="D109" s="1">
        <v>45508</v>
      </c>
      <c r="E109">
        <v>399449</v>
      </c>
      <c r="F109">
        <v>0</v>
      </c>
      <c r="G109">
        <v>0</v>
      </c>
      <c r="H109">
        <v>4628</v>
      </c>
      <c r="I109">
        <v>0</v>
      </c>
      <c r="J109">
        <v>0</v>
      </c>
      <c r="K109">
        <f t="shared" si="1"/>
        <v>0.13410453156704061</v>
      </c>
      <c r="L109">
        <v>84446.054999999993</v>
      </c>
      <c r="M109">
        <v>0</v>
      </c>
      <c r="N109">
        <v>0</v>
      </c>
      <c r="O109">
        <v>978.38900000000001</v>
      </c>
      <c r="P109">
        <v>0</v>
      </c>
      <c r="Q109">
        <v>0</v>
      </c>
      <c r="AX109">
        <v>14.98</v>
      </c>
      <c r="AY109">
        <v>30.7</v>
      </c>
      <c r="AZ109">
        <v>2.355</v>
      </c>
      <c r="BA109">
        <v>1.53</v>
      </c>
      <c r="BB109">
        <v>37960.709000000003</v>
      </c>
      <c r="BD109">
        <v>266.34199999999998</v>
      </c>
      <c r="BE109">
        <v>12.61</v>
      </c>
      <c r="BF109">
        <v>0.5</v>
      </c>
      <c r="BG109">
        <v>15.6</v>
      </c>
      <c r="BH109">
        <v>97.4</v>
      </c>
      <c r="BI109">
        <v>1.6</v>
      </c>
      <c r="BJ109">
        <v>77.86</v>
      </c>
      <c r="BK109">
        <v>0.81299999999999994</v>
      </c>
      <c r="BL109">
        <v>4576300</v>
      </c>
    </row>
    <row r="110" spans="1:68" x14ac:dyDescent="0.3">
      <c r="A110" t="s">
        <v>328</v>
      </c>
      <c r="B110" t="s">
        <v>73</v>
      </c>
      <c r="C110" t="s">
        <v>329</v>
      </c>
      <c r="D110" s="1">
        <v>45508</v>
      </c>
      <c r="E110">
        <v>393542</v>
      </c>
      <c r="F110">
        <v>190</v>
      </c>
      <c r="G110">
        <v>27.143000000000001</v>
      </c>
      <c r="H110">
        <v>1000</v>
      </c>
      <c r="I110">
        <v>0</v>
      </c>
      <c r="J110">
        <v>0</v>
      </c>
      <c r="K110">
        <f t="shared" si="1"/>
        <v>1.2689519761704342</v>
      </c>
      <c r="L110">
        <v>602376.19999999995</v>
      </c>
      <c r="M110">
        <v>290.82400000000001</v>
      </c>
      <c r="N110">
        <v>41.545999999999999</v>
      </c>
      <c r="O110">
        <v>1530.653</v>
      </c>
      <c r="P110">
        <v>0</v>
      </c>
      <c r="Q110">
        <v>0</v>
      </c>
      <c r="AX110">
        <v>231.447</v>
      </c>
      <c r="AY110">
        <v>39.700000000000003</v>
      </c>
      <c r="AZ110">
        <v>14.311999999999999</v>
      </c>
      <c r="BA110">
        <v>9.8420000000000005</v>
      </c>
      <c r="BB110">
        <v>94277.964999999997</v>
      </c>
      <c r="BC110">
        <v>0.2</v>
      </c>
      <c r="BD110">
        <v>128.27500000000001</v>
      </c>
      <c r="BE110">
        <v>4.42</v>
      </c>
      <c r="BF110">
        <v>20.9</v>
      </c>
      <c r="BG110">
        <v>26</v>
      </c>
      <c r="BI110">
        <v>4.51</v>
      </c>
      <c r="BJ110">
        <v>82.25</v>
      </c>
      <c r="BK110">
        <v>0.91600000000000004</v>
      </c>
      <c r="BL110">
        <v>647601</v>
      </c>
    </row>
    <row r="111" spans="1:68" x14ac:dyDescent="0.3">
      <c r="A111" t="s">
        <v>395</v>
      </c>
      <c r="B111" t="s">
        <v>73</v>
      </c>
      <c r="C111" t="s">
        <v>396</v>
      </c>
      <c r="D111" s="1">
        <v>45508</v>
      </c>
      <c r="E111">
        <v>350924</v>
      </c>
      <c r="F111">
        <v>116</v>
      </c>
      <c r="G111">
        <v>16.571000000000002</v>
      </c>
      <c r="H111">
        <v>9978</v>
      </c>
      <c r="I111">
        <v>0</v>
      </c>
      <c r="J111">
        <v>0</v>
      </c>
      <c r="K111">
        <f t="shared" si="1"/>
        <v>1.5111942904230506</v>
      </c>
      <c r="L111">
        <v>190695.11</v>
      </c>
      <c r="M111">
        <v>63.034999999999997</v>
      </c>
      <c r="N111">
        <v>9.0050000000000008</v>
      </c>
      <c r="O111">
        <v>5422.1310000000003</v>
      </c>
      <c r="P111">
        <v>0</v>
      </c>
      <c r="Q111">
        <v>0</v>
      </c>
      <c r="AX111">
        <v>82.6</v>
      </c>
      <c r="AY111">
        <v>39.1</v>
      </c>
      <c r="AZ111">
        <v>13.26</v>
      </c>
      <c r="BA111">
        <v>8.16</v>
      </c>
      <c r="BB111">
        <v>13111.214</v>
      </c>
      <c r="BC111">
        <v>5</v>
      </c>
      <c r="BD111">
        <v>322.68799999999999</v>
      </c>
      <c r="BE111">
        <v>10.08</v>
      </c>
      <c r="BI111">
        <v>4.28</v>
      </c>
      <c r="BJ111">
        <v>75.8</v>
      </c>
      <c r="BK111">
        <v>0.77400000000000002</v>
      </c>
      <c r="BL111">
        <v>2093606</v>
      </c>
    </row>
    <row r="112" spans="1:68" x14ac:dyDescent="0.3">
      <c r="A112" t="s">
        <v>557</v>
      </c>
      <c r="B112" t="s">
        <v>71</v>
      </c>
      <c r="C112" t="s">
        <v>558</v>
      </c>
      <c r="D112" s="1">
        <v>45508</v>
      </c>
      <c r="E112">
        <v>349842</v>
      </c>
      <c r="F112">
        <v>18</v>
      </c>
      <c r="G112">
        <v>2.5710000000000002</v>
      </c>
      <c r="H112">
        <v>4077</v>
      </c>
      <c r="I112">
        <v>0</v>
      </c>
      <c r="J112">
        <v>0</v>
      </c>
      <c r="K112">
        <f t="shared" si="1"/>
        <v>0.18621296212052285</v>
      </c>
      <c r="L112">
        <v>17359.357</v>
      </c>
      <c r="M112">
        <v>0.89300000000000002</v>
      </c>
      <c r="N112">
        <v>0.128</v>
      </c>
      <c r="O112">
        <v>202.303</v>
      </c>
      <c r="P112">
        <v>0</v>
      </c>
      <c r="Q112">
        <v>0</v>
      </c>
      <c r="AX112">
        <v>22.995000000000001</v>
      </c>
      <c r="AY112">
        <v>17.7</v>
      </c>
      <c r="AZ112">
        <v>2.48</v>
      </c>
      <c r="BA112">
        <v>1.542</v>
      </c>
      <c r="BB112">
        <v>3689.2510000000002</v>
      </c>
      <c r="BC112">
        <v>57.5</v>
      </c>
      <c r="BD112">
        <v>234.499</v>
      </c>
      <c r="BE112">
        <v>3.94</v>
      </c>
      <c r="BF112">
        <v>3.1</v>
      </c>
      <c r="BG112">
        <v>24.7</v>
      </c>
      <c r="BH112">
        <v>13.938000000000001</v>
      </c>
      <c r="BI112">
        <v>2</v>
      </c>
      <c r="BJ112">
        <v>63.89</v>
      </c>
      <c r="BK112">
        <v>0.58399999999999996</v>
      </c>
      <c r="BL112">
        <v>20017670</v>
      </c>
    </row>
    <row r="113" spans="1:64" x14ac:dyDescent="0.3">
      <c r="A113" t="s">
        <v>135</v>
      </c>
      <c r="B113" t="s">
        <v>68</v>
      </c>
      <c r="C113" t="s">
        <v>136</v>
      </c>
      <c r="D113" s="1">
        <v>45508</v>
      </c>
      <c r="E113">
        <v>347723</v>
      </c>
      <c r="F113">
        <v>288</v>
      </c>
      <c r="G113">
        <v>41.143000000000001</v>
      </c>
      <c r="H113">
        <v>179</v>
      </c>
      <c r="I113">
        <v>1</v>
      </c>
      <c r="J113">
        <v>0.14299999999999999</v>
      </c>
      <c r="K113">
        <f t="shared" si="1"/>
        <v>2.35019962105833</v>
      </c>
      <c r="L113">
        <v>763598.6</v>
      </c>
      <c r="M113">
        <v>632.447</v>
      </c>
      <c r="N113">
        <v>90.35</v>
      </c>
      <c r="O113">
        <v>393.084</v>
      </c>
      <c r="P113">
        <v>2.1960000000000002</v>
      </c>
      <c r="Q113">
        <v>0.314</v>
      </c>
      <c r="AX113">
        <v>81.346999999999994</v>
      </c>
      <c r="AY113">
        <v>32.4</v>
      </c>
      <c r="AZ113">
        <v>4.5910000000000002</v>
      </c>
      <c r="BA113">
        <v>2.3820000000000001</v>
      </c>
      <c r="BB113">
        <v>71809.251000000004</v>
      </c>
      <c r="BD113">
        <v>201.285</v>
      </c>
      <c r="BE113">
        <v>12.79</v>
      </c>
      <c r="BF113">
        <v>2</v>
      </c>
      <c r="BG113">
        <v>30.9</v>
      </c>
      <c r="BI113">
        <v>2.7</v>
      </c>
      <c r="BJ113">
        <v>75.86</v>
      </c>
      <c r="BK113">
        <v>0.83799999999999997</v>
      </c>
      <c r="BL113">
        <v>449002</v>
      </c>
    </row>
    <row r="114" spans="1:64" x14ac:dyDescent="0.3">
      <c r="A114" t="s">
        <v>298</v>
      </c>
      <c r="B114" t="s">
        <v>71</v>
      </c>
      <c r="C114" t="s">
        <v>299</v>
      </c>
      <c r="D114" s="1">
        <v>45508</v>
      </c>
      <c r="E114">
        <v>344106</v>
      </c>
      <c r="F114">
        <v>0</v>
      </c>
      <c r="G114">
        <v>0</v>
      </c>
      <c r="H114">
        <v>5689</v>
      </c>
      <c r="I114">
        <v>0</v>
      </c>
      <c r="J114">
        <v>0</v>
      </c>
      <c r="K114">
        <f t="shared" si="1"/>
        <v>1.9406420458439926</v>
      </c>
      <c r="L114">
        <v>6342.68</v>
      </c>
      <c r="M114">
        <v>0</v>
      </c>
      <c r="N114">
        <v>0</v>
      </c>
      <c r="O114">
        <v>104.86199999999999</v>
      </c>
      <c r="P114">
        <v>0</v>
      </c>
      <c r="Q114">
        <v>0</v>
      </c>
      <c r="AX114">
        <v>87.323999999999998</v>
      </c>
      <c r="AY114">
        <v>20</v>
      </c>
      <c r="AZ114">
        <v>2.6859999999999999</v>
      </c>
      <c r="BA114">
        <v>1.528</v>
      </c>
      <c r="BB114">
        <v>2993.0279999999998</v>
      </c>
      <c r="BC114">
        <v>36.799999999999997</v>
      </c>
      <c r="BD114">
        <v>218.637</v>
      </c>
      <c r="BE114">
        <v>2.92</v>
      </c>
      <c r="BF114">
        <v>1.2</v>
      </c>
      <c r="BG114">
        <v>20.399999999999999</v>
      </c>
      <c r="BH114">
        <v>24.651</v>
      </c>
      <c r="BI114">
        <v>1.4</v>
      </c>
      <c r="BJ114">
        <v>66.7</v>
      </c>
      <c r="BK114">
        <v>0.60099999999999998</v>
      </c>
      <c r="BL114">
        <v>54027484</v>
      </c>
    </row>
    <row r="115" spans="1:64" x14ac:dyDescent="0.3">
      <c r="A115" t="s">
        <v>72</v>
      </c>
      <c r="B115" t="s">
        <v>73</v>
      </c>
      <c r="C115" t="s">
        <v>74</v>
      </c>
      <c r="D115" s="1">
        <v>45508</v>
      </c>
      <c r="E115">
        <v>335047</v>
      </c>
      <c r="F115">
        <v>0</v>
      </c>
      <c r="G115">
        <v>0</v>
      </c>
      <c r="H115">
        <v>3605</v>
      </c>
      <c r="I115">
        <v>0</v>
      </c>
      <c r="J115">
        <v>0</v>
      </c>
      <c r="K115">
        <f t="shared" si="1"/>
        <v>4.0607829244969844</v>
      </c>
      <c r="L115">
        <v>118491.02</v>
      </c>
      <c r="M115">
        <v>0</v>
      </c>
      <c r="N115">
        <v>0</v>
      </c>
      <c r="O115">
        <v>1274.9259999999999</v>
      </c>
      <c r="P115">
        <v>0</v>
      </c>
      <c r="Q115">
        <v>0</v>
      </c>
      <c r="AX115">
        <v>104.871</v>
      </c>
      <c r="AY115">
        <v>38</v>
      </c>
      <c r="AZ115">
        <v>13.188000000000001</v>
      </c>
      <c r="BA115">
        <v>8.6430000000000007</v>
      </c>
      <c r="BB115">
        <v>11803.431</v>
      </c>
      <c r="BC115">
        <v>1.1000000000000001</v>
      </c>
      <c r="BD115">
        <v>304.19499999999999</v>
      </c>
      <c r="BE115">
        <v>10.08</v>
      </c>
      <c r="BF115">
        <v>7.1</v>
      </c>
      <c r="BG115">
        <v>51.2</v>
      </c>
      <c r="BI115">
        <v>2.89</v>
      </c>
      <c r="BJ115">
        <v>78.569999999999993</v>
      </c>
      <c r="BK115">
        <v>0.79500000000000004</v>
      </c>
      <c r="BL115">
        <v>2842318</v>
      </c>
    </row>
    <row r="116" spans="1:64" x14ac:dyDescent="0.3">
      <c r="A116" t="s">
        <v>129</v>
      </c>
      <c r="B116" t="s">
        <v>71</v>
      </c>
      <c r="C116" t="s">
        <v>130</v>
      </c>
      <c r="D116" s="1">
        <v>45508</v>
      </c>
      <c r="E116">
        <v>330696</v>
      </c>
      <c r="F116">
        <v>0</v>
      </c>
      <c r="G116">
        <v>0</v>
      </c>
      <c r="H116">
        <v>2801</v>
      </c>
      <c r="I116">
        <v>0</v>
      </c>
      <c r="J116">
        <v>0</v>
      </c>
      <c r="K116">
        <f t="shared" si="1"/>
        <v>1.1585959659430867</v>
      </c>
      <c r="L116">
        <v>135536.98000000001</v>
      </c>
      <c r="M116">
        <v>0</v>
      </c>
      <c r="N116">
        <v>0</v>
      </c>
      <c r="O116">
        <v>1148</v>
      </c>
      <c r="P116">
        <v>0</v>
      </c>
      <c r="Q116">
        <v>0</v>
      </c>
      <c r="AX116">
        <v>4.0439999999999996</v>
      </c>
      <c r="AY116">
        <v>25.8</v>
      </c>
      <c r="AZ116">
        <v>3.9409999999999998</v>
      </c>
      <c r="BA116">
        <v>2.242</v>
      </c>
      <c r="BB116">
        <v>15807.374</v>
      </c>
      <c r="BD116">
        <v>237.37200000000001</v>
      </c>
      <c r="BE116">
        <v>4.8099999999999996</v>
      </c>
      <c r="BF116">
        <v>5.7</v>
      </c>
      <c r="BG116">
        <v>34.4</v>
      </c>
      <c r="BI116">
        <v>1.8</v>
      </c>
      <c r="BJ116">
        <v>69.59</v>
      </c>
      <c r="BK116">
        <v>0.73499999999999999</v>
      </c>
      <c r="BL116">
        <v>2630300</v>
      </c>
    </row>
    <row r="117" spans="1:64" x14ac:dyDescent="0.3">
      <c r="A117" t="s">
        <v>348</v>
      </c>
      <c r="B117" t="s">
        <v>71</v>
      </c>
      <c r="C117" t="s">
        <v>349</v>
      </c>
      <c r="D117" s="1">
        <v>45508</v>
      </c>
      <c r="E117">
        <v>328167</v>
      </c>
      <c r="F117">
        <v>0</v>
      </c>
      <c r="G117">
        <v>0</v>
      </c>
      <c r="H117">
        <v>1073</v>
      </c>
      <c r="I117">
        <v>0</v>
      </c>
      <c r="J117">
        <v>0</v>
      </c>
      <c r="K117">
        <f t="shared" si="1"/>
        <v>0.25410248461409457</v>
      </c>
      <c r="L117">
        <v>257157.16</v>
      </c>
      <c r="M117">
        <v>0</v>
      </c>
      <c r="N117">
        <v>0</v>
      </c>
      <c r="O117">
        <v>840.82100000000003</v>
      </c>
      <c r="P117">
        <v>0</v>
      </c>
      <c r="Q117">
        <v>0</v>
      </c>
      <c r="AX117">
        <v>622.96199999999999</v>
      </c>
      <c r="AY117">
        <v>37.4</v>
      </c>
      <c r="AZ117">
        <v>10.945</v>
      </c>
      <c r="BA117">
        <v>5.8840000000000003</v>
      </c>
      <c r="BB117">
        <v>20292.744999999999</v>
      </c>
      <c r="BC117">
        <v>0.5</v>
      </c>
      <c r="BD117">
        <v>224.64400000000001</v>
      </c>
      <c r="BE117">
        <v>22.02</v>
      </c>
      <c r="BF117">
        <v>3.2</v>
      </c>
      <c r="BG117">
        <v>40.700000000000003</v>
      </c>
      <c r="BI117">
        <v>3.4</v>
      </c>
      <c r="BJ117">
        <v>74.989999999999995</v>
      </c>
      <c r="BK117">
        <v>0.80400000000000005</v>
      </c>
      <c r="BL117">
        <v>1299478</v>
      </c>
    </row>
    <row r="118" spans="1:64" x14ac:dyDescent="0.3">
      <c r="A118" t="s">
        <v>302</v>
      </c>
      <c r="B118" t="s">
        <v>73</v>
      </c>
      <c r="C118" t="s">
        <v>303</v>
      </c>
      <c r="D118" s="1">
        <v>45508</v>
      </c>
      <c r="E118">
        <v>274279</v>
      </c>
      <c r="F118">
        <v>0</v>
      </c>
      <c r="G118">
        <v>0</v>
      </c>
      <c r="H118">
        <v>3212</v>
      </c>
      <c r="I118">
        <v>0</v>
      </c>
      <c r="J118">
        <v>0</v>
      </c>
      <c r="K118">
        <f t="shared" si="1"/>
        <v>2.8433506970170179</v>
      </c>
      <c r="L118">
        <v>159654.82999999999</v>
      </c>
      <c r="M118">
        <v>0</v>
      </c>
      <c r="N118">
        <v>0</v>
      </c>
      <c r="O118">
        <v>1869.67</v>
      </c>
      <c r="P118">
        <v>0</v>
      </c>
      <c r="Q118">
        <v>0</v>
      </c>
      <c r="AX118">
        <v>168.155</v>
      </c>
      <c r="BB118">
        <v>9795.8340000000007</v>
      </c>
      <c r="BC118">
        <v>0.6</v>
      </c>
      <c r="BL118">
        <v>1782115</v>
      </c>
    </row>
    <row r="119" spans="1:64" x14ac:dyDescent="0.3">
      <c r="A119" t="s">
        <v>75</v>
      </c>
      <c r="B119" t="s">
        <v>71</v>
      </c>
      <c r="C119" t="s">
        <v>76</v>
      </c>
      <c r="D119" s="1">
        <v>45508</v>
      </c>
      <c r="E119">
        <v>272139</v>
      </c>
      <c r="F119">
        <v>18</v>
      </c>
      <c r="G119">
        <v>2.5710000000000002</v>
      </c>
      <c r="H119">
        <v>6881</v>
      </c>
      <c r="I119">
        <v>0</v>
      </c>
      <c r="J119">
        <v>0</v>
      </c>
      <c r="K119">
        <f t="shared" si="1"/>
        <v>1.1653832301438936</v>
      </c>
      <c r="L119">
        <v>5984.05</v>
      </c>
      <c r="M119">
        <v>0.39600000000000002</v>
      </c>
      <c r="N119">
        <v>5.7000000000000002E-2</v>
      </c>
      <c r="O119">
        <v>151.30600000000001</v>
      </c>
      <c r="P119">
        <v>0</v>
      </c>
      <c r="Q119">
        <v>0</v>
      </c>
      <c r="AX119">
        <v>17.347999999999999</v>
      </c>
      <c r="AY119">
        <v>29.1</v>
      </c>
      <c r="AZ119">
        <v>6.2110000000000003</v>
      </c>
      <c r="BA119">
        <v>3.8570000000000002</v>
      </c>
      <c r="BB119">
        <v>13913.839</v>
      </c>
      <c r="BC119">
        <v>0.5</v>
      </c>
      <c r="BD119">
        <v>278.36399999999998</v>
      </c>
      <c r="BE119">
        <v>6.73</v>
      </c>
      <c r="BF119">
        <v>0.7</v>
      </c>
      <c r="BG119">
        <v>30.4</v>
      </c>
      <c r="BH119">
        <v>83.741</v>
      </c>
      <c r="BI119">
        <v>1.9</v>
      </c>
      <c r="BJ119">
        <v>76.88</v>
      </c>
      <c r="BK119">
        <v>0.748</v>
      </c>
      <c r="BL119">
        <v>44903228</v>
      </c>
    </row>
    <row r="120" spans="1:64" x14ac:dyDescent="0.3">
      <c r="A120" t="s">
        <v>388</v>
      </c>
      <c r="B120" t="s">
        <v>71</v>
      </c>
      <c r="C120" t="s">
        <v>389</v>
      </c>
      <c r="D120" s="1">
        <v>45508</v>
      </c>
      <c r="E120">
        <v>267188</v>
      </c>
      <c r="F120">
        <v>0</v>
      </c>
      <c r="G120">
        <v>0</v>
      </c>
      <c r="H120">
        <v>3155</v>
      </c>
      <c r="I120">
        <v>0</v>
      </c>
      <c r="J120">
        <v>0</v>
      </c>
      <c r="K120">
        <f t="shared" si="1"/>
        <v>5.1477756720147934E-2</v>
      </c>
      <c r="L120">
        <v>1197.3420000000001</v>
      </c>
      <c r="M120">
        <v>0</v>
      </c>
      <c r="N120">
        <v>0</v>
      </c>
      <c r="O120">
        <v>14.138</v>
      </c>
      <c r="P120">
        <v>0</v>
      </c>
      <c r="Q120">
        <v>0</v>
      </c>
      <c r="AX120">
        <v>209.58799999999999</v>
      </c>
      <c r="AY120">
        <v>18.100000000000001</v>
      </c>
      <c r="AZ120">
        <v>2.7509999999999999</v>
      </c>
      <c r="BA120">
        <v>1.4470000000000001</v>
      </c>
      <c r="BB120">
        <v>5338.4539999999997</v>
      </c>
      <c r="BD120">
        <v>181.01300000000001</v>
      </c>
      <c r="BE120">
        <v>2.42</v>
      </c>
      <c r="BF120">
        <v>0.6</v>
      </c>
      <c r="BG120">
        <v>10.8</v>
      </c>
      <c r="BH120">
        <v>41.948999999999998</v>
      </c>
      <c r="BJ120">
        <v>54.69</v>
      </c>
      <c r="BK120">
        <v>0.53900000000000003</v>
      </c>
      <c r="BL120">
        <v>218541216</v>
      </c>
    </row>
    <row r="121" spans="1:64" x14ac:dyDescent="0.3">
      <c r="A121" t="s">
        <v>559</v>
      </c>
      <c r="B121" t="s">
        <v>71</v>
      </c>
      <c r="C121" t="s">
        <v>560</v>
      </c>
      <c r="D121" s="1">
        <v>45508</v>
      </c>
      <c r="E121">
        <v>266386</v>
      </c>
      <c r="F121">
        <v>0</v>
      </c>
      <c r="G121">
        <v>0</v>
      </c>
      <c r="H121">
        <v>5740</v>
      </c>
      <c r="I121">
        <v>0</v>
      </c>
      <c r="J121">
        <v>0</v>
      </c>
      <c r="K121">
        <f t="shared" si="1"/>
        <v>1.6532696320319902</v>
      </c>
      <c r="L121">
        <v>16577.57</v>
      </c>
      <c r="M121">
        <v>0</v>
      </c>
      <c r="N121">
        <v>0</v>
      </c>
      <c r="O121">
        <v>357.20800000000003</v>
      </c>
      <c r="P121">
        <v>0</v>
      </c>
      <c r="Q121">
        <v>0</v>
      </c>
      <c r="AX121">
        <v>42.728999999999999</v>
      </c>
      <c r="AY121">
        <v>19.600000000000001</v>
      </c>
      <c r="AZ121">
        <v>2.8220000000000001</v>
      </c>
      <c r="BA121">
        <v>1.8819999999999999</v>
      </c>
      <c r="BB121">
        <v>1899.7750000000001</v>
      </c>
      <c r="BC121">
        <v>21.4</v>
      </c>
      <c r="BD121">
        <v>307.846</v>
      </c>
      <c r="BE121">
        <v>1.82</v>
      </c>
      <c r="BF121">
        <v>1.6</v>
      </c>
      <c r="BG121">
        <v>30.7</v>
      </c>
      <c r="BH121">
        <v>36.790999999999997</v>
      </c>
      <c r="BI121">
        <v>1.7</v>
      </c>
      <c r="BJ121">
        <v>61.49</v>
      </c>
      <c r="BK121">
        <v>0.57099999999999995</v>
      </c>
      <c r="BL121">
        <v>16320539</v>
      </c>
    </row>
    <row r="122" spans="1:64" x14ac:dyDescent="0.3">
      <c r="A122" t="s">
        <v>362</v>
      </c>
      <c r="B122" t="s">
        <v>73</v>
      </c>
      <c r="C122" t="s">
        <v>363</v>
      </c>
      <c r="D122" s="1">
        <v>45508</v>
      </c>
      <c r="E122">
        <v>251280</v>
      </c>
      <c r="F122">
        <v>0</v>
      </c>
      <c r="G122">
        <v>0</v>
      </c>
      <c r="H122">
        <v>2654</v>
      </c>
      <c r="I122">
        <v>0</v>
      </c>
      <c r="J122">
        <v>0</v>
      </c>
      <c r="K122">
        <f t="shared" si="1"/>
        <v>1.0759684462179933</v>
      </c>
      <c r="L122">
        <v>408818.03</v>
      </c>
      <c r="M122">
        <v>0</v>
      </c>
      <c r="N122">
        <v>0</v>
      </c>
      <c r="O122">
        <v>4317.9040000000005</v>
      </c>
      <c r="P122">
        <v>0</v>
      </c>
      <c r="Q122">
        <v>0</v>
      </c>
      <c r="AX122">
        <v>46.28</v>
      </c>
      <c r="AY122">
        <v>39.1</v>
      </c>
      <c r="AZ122">
        <v>14.762</v>
      </c>
      <c r="BA122">
        <v>9.3949999999999996</v>
      </c>
      <c r="BB122">
        <v>16409.288</v>
      </c>
      <c r="BC122">
        <v>1</v>
      </c>
      <c r="BD122">
        <v>387.30500000000001</v>
      </c>
      <c r="BE122">
        <v>10.08</v>
      </c>
      <c r="BF122">
        <v>44</v>
      </c>
      <c r="BG122">
        <v>47.9</v>
      </c>
      <c r="BI122">
        <v>3.8610000000000002</v>
      </c>
      <c r="BJ122">
        <v>76.88</v>
      </c>
      <c r="BK122">
        <v>0.82899999999999996</v>
      </c>
      <c r="BL122">
        <v>627082</v>
      </c>
    </row>
    <row r="123" spans="1:64" x14ac:dyDescent="0.3">
      <c r="A123" t="s">
        <v>67</v>
      </c>
      <c r="B123" t="s">
        <v>68</v>
      </c>
      <c r="C123" t="s">
        <v>69</v>
      </c>
      <c r="D123" s="1">
        <v>45508</v>
      </c>
      <c r="E123">
        <v>235214</v>
      </c>
      <c r="F123">
        <v>0</v>
      </c>
      <c r="G123">
        <v>0</v>
      </c>
      <c r="H123">
        <v>7998</v>
      </c>
      <c r="I123">
        <v>0</v>
      </c>
      <c r="J123">
        <v>0</v>
      </c>
      <c r="K123">
        <f t="shared" si="1"/>
        <v>0.84700147567554496</v>
      </c>
      <c r="L123">
        <v>5796.4679999999998</v>
      </c>
      <c r="M123">
        <v>0</v>
      </c>
      <c r="N123">
        <v>0</v>
      </c>
      <c r="O123">
        <v>197.09800000000001</v>
      </c>
      <c r="P123">
        <v>0</v>
      </c>
      <c r="Q123">
        <v>0</v>
      </c>
      <c r="AX123">
        <v>54.421999999999997</v>
      </c>
      <c r="AY123">
        <v>18.600000000000001</v>
      </c>
      <c r="AZ123">
        <v>2.581</v>
      </c>
      <c r="BA123">
        <v>1.337</v>
      </c>
      <c r="BB123">
        <v>1803.9870000000001</v>
      </c>
      <c r="BD123">
        <v>597.029</v>
      </c>
      <c r="BE123">
        <v>9.59</v>
      </c>
      <c r="BH123">
        <v>37.746000000000002</v>
      </c>
      <c r="BI123">
        <v>0.5</v>
      </c>
      <c r="BJ123">
        <v>64.83</v>
      </c>
      <c r="BK123">
        <v>0.51100000000000001</v>
      </c>
      <c r="BL123">
        <v>41128772</v>
      </c>
    </row>
    <row r="124" spans="1:64" x14ac:dyDescent="0.3">
      <c r="A124" t="s">
        <v>368</v>
      </c>
      <c r="B124" t="s">
        <v>71</v>
      </c>
      <c r="C124" t="s">
        <v>369</v>
      </c>
      <c r="D124" s="1">
        <v>45508</v>
      </c>
      <c r="E124">
        <v>233843</v>
      </c>
      <c r="F124">
        <v>0</v>
      </c>
      <c r="G124">
        <v>0</v>
      </c>
      <c r="H124">
        <v>2252</v>
      </c>
      <c r="I124">
        <v>0</v>
      </c>
      <c r="J124">
        <v>0</v>
      </c>
      <c r="K124">
        <f t="shared" si="1"/>
        <v>0.32696767194751453</v>
      </c>
      <c r="L124">
        <v>7160.7439999999997</v>
      </c>
      <c r="M124">
        <v>0</v>
      </c>
      <c r="N124">
        <v>0</v>
      </c>
      <c r="O124">
        <v>68.960999999999999</v>
      </c>
      <c r="P124">
        <v>0</v>
      </c>
      <c r="Q124">
        <v>0</v>
      </c>
      <c r="AX124">
        <v>37.728000000000002</v>
      </c>
      <c r="AY124">
        <v>17.7</v>
      </c>
      <c r="AZ124">
        <v>3.1579999999999999</v>
      </c>
      <c r="BA124">
        <v>1.87</v>
      </c>
      <c r="BB124">
        <v>1136.1030000000001</v>
      </c>
      <c r="BC124">
        <v>62.9</v>
      </c>
      <c r="BD124">
        <v>329.94200000000001</v>
      </c>
      <c r="BE124">
        <v>3.3</v>
      </c>
      <c r="BF124">
        <v>5.0999999999999996</v>
      </c>
      <c r="BG124">
        <v>29.1</v>
      </c>
      <c r="BH124">
        <v>12.227</v>
      </c>
      <c r="BI124">
        <v>0.7</v>
      </c>
      <c r="BJ124">
        <v>60.85</v>
      </c>
      <c r="BK124">
        <v>0.45600000000000002</v>
      </c>
      <c r="BL124">
        <v>32969520</v>
      </c>
    </row>
    <row r="125" spans="1:64" x14ac:dyDescent="0.3">
      <c r="A125" t="s">
        <v>344</v>
      </c>
      <c r="B125" t="s">
        <v>85</v>
      </c>
      <c r="C125" t="s">
        <v>345</v>
      </c>
      <c r="D125" s="1">
        <v>45508</v>
      </c>
      <c r="E125">
        <v>230354</v>
      </c>
      <c r="F125">
        <v>0</v>
      </c>
      <c r="G125">
        <v>0</v>
      </c>
      <c r="H125">
        <v>1104</v>
      </c>
      <c r="I125">
        <v>0</v>
      </c>
      <c r="J125">
        <v>0</v>
      </c>
      <c r="K125">
        <f t="shared" si="1"/>
        <v>1.1710703334925385</v>
      </c>
      <c r="L125">
        <v>659169.43999999994</v>
      </c>
      <c r="M125">
        <v>0</v>
      </c>
      <c r="N125">
        <v>0</v>
      </c>
      <c r="O125">
        <v>3159.1509999999998</v>
      </c>
      <c r="P125">
        <v>0</v>
      </c>
      <c r="Q125">
        <v>0</v>
      </c>
      <c r="AY125">
        <v>45.7</v>
      </c>
      <c r="BA125">
        <v>12.542999999999999</v>
      </c>
      <c r="BJ125">
        <v>82.54</v>
      </c>
      <c r="BL125">
        <v>367512</v>
      </c>
    </row>
    <row r="126" spans="1:64" x14ac:dyDescent="0.3">
      <c r="A126" t="s">
        <v>308</v>
      </c>
      <c r="B126" t="s">
        <v>68</v>
      </c>
      <c r="C126" t="s">
        <v>309</v>
      </c>
      <c r="D126" s="1">
        <v>45508</v>
      </c>
      <c r="E126">
        <v>219060</v>
      </c>
      <c r="F126">
        <v>0</v>
      </c>
      <c r="G126">
        <v>0</v>
      </c>
      <c r="H126">
        <v>671</v>
      </c>
      <c r="I126">
        <v>0</v>
      </c>
      <c r="J126">
        <v>0</v>
      </c>
      <c r="K126">
        <f t="shared" si="1"/>
        <v>2.5284872803971501</v>
      </c>
      <c r="L126">
        <v>28979.995999999999</v>
      </c>
      <c r="M126">
        <v>0</v>
      </c>
      <c r="N126">
        <v>0</v>
      </c>
      <c r="O126">
        <v>88.768000000000001</v>
      </c>
      <c r="P126">
        <v>0</v>
      </c>
      <c r="Q126">
        <v>0</v>
      </c>
      <c r="AX126">
        <v>29.715</v>
      </c>
      <c r="AY126">
        <v>24.4</v>
      </c>
      <c r="AZ126">
        <v>4.0289999999999999</v>
      </c>
      <c r="BA126">
        <v>2.3220000000000001</v>
      </c>
      <c r="BB126">
        <v>6397.36</v>
      </c>
      <c r="BC126">
        <v>22.7</v>
      </c>
      <c r="BD126">
        <v>368.11099999999999</v>
      </c>
      <c r="BE126">
        <v>4</v>
      </c>
      <c r="BF126">
        <v>7.3</v>
      </c>
      <c r="BG126">
        <v>51.2</v>
      </c>
      <c r="BH126">
        <v>49.838999999999999</v>
      </c>
      <c r="BI126">
        <v>1.5</v>
      </c>
      <c r="BJ126">
        <v>67.92</v>
      </c>
      <c r="BK126">
        <v>0.61299999999999999</v>
      </c>
      <c r="BL126">
        <v>7529477</v>
      </c>
    </row>
    <row r="127" spans="1:64" x14ac:dyDescent="0.3">
      <c r="A127" t="s">
        <v>270</v>
      </c>
      <c r="B127" t="s">
        <v>73</v>
      </c>
      <c r="C127" t="s">
        <v>271</v>
      </c>
      <c r="D127" s="1">
        <v>45508</v>
      </c>
      <c r="E127">
        <v>210374</v>
      </c>
      <c r="F127">
        <v>27</v>
      </c>
      <c r="G127">
        <v>3.8570000000000002</v>
      </c>
      <c r="H127">
        <v>186</v>
      </c>
      <c r="I127">
        <v>0</v>
      </c>
      <c r="J127">
        <v>0</v>
      </c>
      <c r="K127">
        <f t="shared" si="1"/>
        <v>1.1808165037351976</v>
      </c>
      <c r="L127">
        <v>553080.19999999995</v>
      </c>
      <c r="M127">
        <v>70.983999999999995</v>
      </c>
      <c r="N127">
        <v>10.141</v>
      </c>
      <c r="O127">
        <v>489</v>
      </c>
      <c r="P127">
        <v>0</v>
      </c>
      <c r="Q127">
        <v>0</v>
      </c>
      <c r="AX127">
        <v>3.4039999999999999</v>
      </c>
      <c r="AY127">
        <v>37.299999999999997</v>
      </c>
      <c r="AZ127">
        <v>14.430999999999999</v>
      </c>
      <c r="BA127">
        <v>9.2070000000000007</v>
      </c>
      <c r="BB127">
        <v>46482.957999999999</v>
      </c>
      <c r="BC127">
        <v>0.2</v>
      </c>
      <c r="BD127">
        <v>117.992</v>
      </c>
      <c r="BE127">
        <v>5.31</v>
      </c>
      <c r="BF127">
        <v>14.3</v>
      </c>
      <c r="BG127">
        <v>15.2</v>
      </c>
      <c r="BI127">
        <v>2.91</v>
      </c>
      <c r="BJ127">
        <v>82.99</v>
      </c>
      <c r="BK127">
        <v>0.94899999999999995</v>
      </c>
      <c r="BL127">
        <v>372903</v>
      </c>
    </row>
    <row r="128" spans="1:64" x14ac:dyDescent="0.3">
      <c r="A128" t="s">
        <v>246</v>
      </c>
      <c r="B128" t="s">
        <v>85</v>
      </c>
      <c r="C128" t="s">
        <v>247</v>
      </c>
      <c r="D128" s="1">
        <v>45508</v>
      </c>
      <c r="E128">
        <v>203235</v>
      </c>
      <c r="F128">
        <v>0</v>
      </c>
      <c r="G128">
        <v>0</v>
      </c>
      <c r="H128">
        <v>1021</v>
      </c>
      <c r="I128">
        <v>0</v>
      </c>
      <c r="J128">
        <v>0</v>
      </c>
      <c r="K128">
        <f t="shared" si="1"/>
        <v>2.1547678932076009</v>
      </c>
      <c r="L128">
        <v>528290.6</v>
      </c>
      <c r="M128">
        <v>0</v>
      </c>
      <c r="N128">
        <v>0</v>
      </c>
      <c r="O128">
        <v>2653.9949999999999</v>
      </c>
      <c r="P128">
        <v>0</v>
      </c>
      <c r="Q128">
        <v>0</v>
      </c>
      <c r="AY128">
        <v>43.4</v>
      </c>
      <c r="BJ128">
        <v>82.14</v>
      </c>
      <c r="BL128">
        <v>395762</v>
      </c>
    </row>
    <row r="129" spans="1:64" x14ac:dyDescent="0.3">
      <c r="A129" t="s">
        <v>199</v>
      </c>
      <c r="B129" t="s">
        <v>85</v>
      </c>
      <c r="C129" t="s">
        <v>200</v>
      </c>
      <c r="D129" s="1">
        <v>45508</v>
      </c>
      <c r="E129">
        <v>201920</v>
      </c>
      <c r="F129">
        <v>3</v>
      </c>
      <c r="G129">
        <v>0.42899999999999999</v>
      </c>
      <c r="H129">
        <v>4230</v>
      </c>
      <c r="I129">
        <v>0</v>
      </c>
      <c r="J129">
        <v>0</v>
      </c>
      <c r="K129">
        <f t="shared" si="1"/>
        <v>1.0561922954473097</v>
      </c>
      <c r="L129">
        <v>32151.248</v>
      </c>
      <c r="M129">
        <v>0.47799999999999998</v>
      </c>
      <c r="N129">
        <v>6.8000000000000005E-2</v>
      </c>
      <c r="O129">
        <v>673.53300000000002</v>
      </c>
      <c r="P129">
        <v>0</v>
      </c>
      <c r="Q129">
        <v>0</v>
      </c>
      <c r="AX129">
        <v>307.81099999999998</v>
      </c>
      <c r="AY129">
        <v>27.6</v>
      </c>
      <c r="AZ129">
        <v>8.2729999999999997</v>
      </c>
      <c r="BA129">
        <v>5.4169999999999998</v>
      </c>
      <c r="BB129">
        <v>7292.4579999999996</v>
      </c>
      <c r="BC129">
        <v>2.2000000000000002</v>
      </c>
      <c r="BD129">
        <v>167.29499999999999</v>
      </c>
      <c r="BE129">
        <v>8.8699999999999992</v>
      </c>
      <c r="BF129">
        <v>2.5</v>
      </c>
      <c r="BG129">
        <v>18.8</v>
      </c>
      <c r="BH129">
        <v>90.65</v>
      </c>
      <c r="BI129">
        <v>1.3</v>
      </c>
      <c r="BJ129">
        <v>73.319999999999993</v>
      </c>
      <c r="BK129">
        <v>0.67300000000000004</v>
      </c>
      <c r="BL129">
        <v>6336393</v>
      </c>
    </row>
    <row r="130" spans="1:64" x14ac:dyDescent="0.3">
      <c r="A130" t="s">
        <v>513</v>
      </c>
      <c r="B130" t="s">
        <v>85</v>
      </c>
      <c r="C130" t="s">
        <v>514</v>
      </c>
      <c r="D130" s="1">
        <v>45508</v>
      </c>
      <c r="E130">
        <v>191496</v>
      </c>
      <c r="F130">
        <v>0</v>
      </c>
      <c r="G130">
        <v>0</v>
      </c>
      <c r="H130">
        <v>4390</v>
      </c>
      <c r="I130">
        <v>0</v>
      </c>
      <c r="J130">
        <v>0</v>
      </c>
      <c r="K130">
        <f t="shared" si="1"/>
        <v>3.4003078048075368</v>
      </c>
      <c r="L130">
        <v>128012.02</v>
      </c>
      <c r="M130">
        <v>0</v>
      </c>
      <c r="N130">
        <v>0</v>
      </c>
      <c r="O130">
        <v>2934.645</v>
      </c>
      <c r="P130">
        <v>0</v>
      </c>
      <c r="Q130">
        <v>0</v>
      </c>
      <c r="AX130">
        <v>266.88600000000002</v>
      </c>
      <c r="AY130">
        <v>36.200000000000003</v>
      </c>
      <c r="AZ130">
        <v>10.013999999999999</v>
      </c>
      <c r="BA130">
        <v>5.819</v>
      </c>
      <c r="BB130">
        <v>28763.071</v>
      </c>
      <c r="BD130">
        <v>228.46700000000001</v>
      </c>
      <c r="BE130">
        <v>10.97</v>
      </c>
      <c r="BH130">
        <v>89.442999999999998</v>
      </c>
      <c r="BI130">
        <v>3</v>
      </c>
      <c r="BJ130">
        <v>73.510000000000005</v>
      </c>
      <c r="BK130">
        <v>0.79600000000000004</v>
      </c>
      <c r="BL130">
        <v>1531043</v>
      </c>
    </row>
    <row r="131" spans="1:64" x14ac:dyDescent="0.3">
      <c r="A131" t="s">
        <v>336</v>
      </c>
      <c r="B131" t="s">
        <v>68</v>
      </c>
      <c r="C131" t="s">
        <v>337</v>
      </c>
      <c r="D131" s="1">
        <v>45508</v>
      </c>
      <c r="E131">
        <v>186694</v>
      </c>
      <c r="F131">
        <v>0</v>
      </c>
      <c r="G131">
        <v>0</v>
      </c>
      <c r="H131">
        <v>316</v>
      </c>
      <c r="I131">
        <v>0</v>
      </c>
      <c r="J131">
        <v>0</v>
      </c>
      <c r="K131">
        <f t="shared" si="1"/>
        <v>0.96303930414850991</v>
      </c>
      <c r="L131">
        <v>356207.4</v>
      </c>
      <c r="M131">
        <v>0</v>
      </c>
      <c r="N131">
        <v>0</v>
      </c>
      <c r="O131">
        <v>602.91999999999996</v>
      </c>
      <c r="P131">
        <v>0</v>
      </c>
      <c r="Q131">
        <v>0</v>
      </c>
      <c r="AX131">
        <v>1454.433</v>
      </c>
      <c r="AY131">
        <v>30.6</v>
      </c>
      <c r="AZ131">
        <v>4.12</v>
      </c>
      <c r="BA131">
        <v>2.875</v>
      </c>
      <c r="BB131">
        <v>15183.616</v>
      </c>
      <c r="BD131">
        <v>164.905</v>
      </c>
      <c r="BE131">
        <v>9.19</v>
      </c>
      <c r="BF131">
        <v>2.1</v>
      </c>
      <c r="BG131">
        <v>55</v>
      </c>
      <c r="BH131">
        <v>95.802999999999997</v>
      </c>
      <c r="BJ131">
        <v>78.92</v>
      </c>
      <c r="BK131">
        <v>0.74</v>
      </c>
      <c r="BL131">
        <v>523798</v>
      </c>
    </row>
    <row r="132" spans="1:64" x14ac:dyDescent="0.3">
      <c r="A132" t="s">
        <v>541</v>
      </c>
      <c r="B132" t="s">
        <v>68</v>
      </c>
      <c r="C132" t="s">
        <v>542</v>
      </c>
      <c r="D132" s="1">
        <v>45508</v>
      </c>
      <c r="E132">
        <v>175081</v>
      </c>
      <c r="F132">
        <v>0</v>
      </c>
      <c r="G132">
        <v>0</v>
      </c>
      <c r="H132">
        <v>1016</v>
      </c>
      <c r="I132">
        <v>0</v>
      </c>
      <c r="J132">
        <v>0</v>
      </c>
      <c r="K132">
        <f t="shared" si="1"/>
        <v>0.47926235272667289</v>
      </c>
      <c r="L132">
        <v>5011.0540000000001</v>
      </c>
      <c r="M132">
        <v>0</v>
      </c>
      <c r="N132">
        <v>0</v>
      </c>
      <c r="O132">
        <v>29.079000000000001</v>
      </c>
      <c r="P132">
        <v>0</v>
      </c>
      <c r="Q132">
        <v>0</v>
      </c>
      <c r="AX132">
        <v>76.134</v>
      </c>
      <c r="AY132">
        <v>28.2</v>
      </c>
      <c r="AZ132">
        <v>4.4690000000000003</v>
      </c>
      <c r="BA132">
        <v>2.8730000000000002</v>
      </c>
      <c r="BB132">
        <v>6253.1040000000003</v>
      </c>
      <c r="BD132">
        <v>724.41700000000003</v>
      </c>
      <c r="BE132">
        <v>7.57</v>
      </c>
      <c r="BF132">
        <v>1.3</v>
      </c>
      <c r="BG132">
        <v>24.7</v>
      </c>
      <c r="BI132">
        <v>4</v>
      </c>
      <c r="BJ132">
        <v>71.72</v>
      </c>
      <c r="BK132">
        <v>0.72</v>
      </c>
      <c r="BL132">
        <v>34627648</v>
      </c>
    </row>
    <row r="133" spans="1:64" x14ac:dyDescent="0.3">
      <c r="A133" t="s">
        <v>372</v>
      </c>
      <c r="B133" t="s">
        <v>71</v>
      </c>
      <c r="C133" t="s">
        <v>373</v>
      </c>
      <c r="D133" s="1">
        <v>45508</v>
      </c>
      <c r="E133">
        <v>172533</v>
      </c>
      <c r="F133">
        <v>0</v>
      </c>
      <c r="G133">
        <v>0</v>
      </c>
      <c r="H133">
        <v>4108</v>
      </c>
      <c r="I133">
        <v>0</v>
      </c>
      <c r="J133">
        <v>0</v>
      </c>
      <c r="K133">
        <f t="shared" si="1"/>
        <v>0.30630877385191274</v>
      </c>
      <c r="L133">
        <v>59706.86</v>
      </c>
      <c r="M133">
        <v>0</v>
      </c>
      <c r="N133">
        <v>0</v>
      </c>
      <c r="O133">
        <v>1421.617</v>
      </c>
      <c r="P133">
        <v>0</v>
      </c>
      <c r="Q133">
        <v>0</v>
      </c>
      <c r="AX133">
        <v>3.0779999999999998</v>
      </c>
      <c r="AY133">
        <v>22</v>
      </c>
      <c r="AZ133">
        <v>3.552</v>
      </c>
      <c r="BA133">
        <v>2.085</v>
      </c>
      <c r="BB133">
        <v>9541.8080000000009</v>
      </c>
      <c r="BC133">
        <v>13.4</v>
      </c>
      <c r="BD133">
        <v>243.81100000000001</v>
      </c>
      <c r="BE133">
        <v>3.94</v>
      </c>
      <c r="BF133">
        <v>9.6999999999999993</v>
      </c>
      <c r="BG133">
        <v>34.200000000000003</v>
      </c>
      <c r="BH133">
        <v>44.6</v>
      </c>
      <c r="BJ133">
        <v>63.71</v>
      </c>
      <c r="BK133">
        <v>0.64600000000000002</v>
      </c>
      <c r="BL133">
        <v>2567024</v>
      </c>
    </row>
    <row r="134" spans="1:64" x14ac:dyDescent="0.3">
      <c r="A134" t="s">
        <v>525</v>
      </c>
      <c r="B134" t="s">
        <v>71</v>
      </c>
      <c r="C134" t="s">
        <v>526</v>
      </c>
      <c r="D134" s="1">
        <v>45508</v>
      </c>
      <c r="E134">
        <v>172154</v>
      </c>
      <c r="F134">
        <v>0</v>
      </c>
      <c r="G134">
        <v>0</v>
      </c>
      <c r="H134">
        <v>3632</v>
      </c>
      <c r="I134">
        <v>0</v>
      </c>
      <c r="J134">
        <v>0</v>
      </c>
      <c r="K134">
        <f t="shared" si="1"/>
        <v>8.8413967505490215E-2</v>
      </c>
      <c r="L134">
        <v>3638.6410000000001</v>
      </c>
      <c r="M134">
        <v>0</v>
      </c>
      <c r="N134">
        <v>0</v>
      </c>
      <c r="O134">
        <v>76.766000000000005</v>
      </c>
      <c r="P134">
        <v>0</v>
      </c>
      <c r="Q134">
        <v>0</v>
      </c>
      <c r="AX134">
        <v>213.75899999999999</v>
      </c>
      <c r="AY134">
        <v>16.399999999999999</v>
      </c>
      <c r="AZ134">
        <v>2.1680000000000001</v>
      </c>
      <c r="BA134">
        <v>1.3080000000000001</v>
      </c>
      <c r="BB134">
        <v>1697.7070000000001</v>
      </c>
      <c r="BC134">
        <v>41.6</v>
      </c>
      <c r="BD134">
        <v>213.333</v>
      </c>
      <c r="BE134">
        <v>2.5</v>
      </c>
      <c r="BF134">
        <v>3.4</v>
      </c>
      <c r="BG134">
        <v>16.7</v>
      </c>
      <c r="BH134">
        <v>21.222000000000001</v>
      </c>
      <c r="BI134">
        <v>0.5</v>
      </c>
      <c r="BJ134">
        <v>63.37</v>
      </c>
      <c r="BK134">
        <v>0.54400000000000004</v>
      </c>
      <c r="BL134">
        <v>47249588</v>
      </c>
    </row>
    <row r="135" spans="1:64" x14ac:dyDescent="0.3">
      <c r="A135" t="s">
        <v>236</v>
      </c>
      <c r="B135" t="s">
        <v>71</v>
      </c>
      <c r="C135" t="s">
        <v>237</v>
      </c>
      <c r="D135" s="1">
        <v>45508</v>
      </c>
      <c r="E135">
        <v>172062</v>
      </c>
      <c r="F135">
        <v>0</v>
      </c>
      <c r="G135">
        <v>0</v>
      </c>
      <c r="H135">
        <v>1462</v>
      </c>
      <c r="I135">
        <v>0</v>
      </c>
      <c r="J135">
        <v>0</v>
      </c>
      <c r="K135">
        <f t="shared" si="1"/>
        <v>0.50237409894949192</v>
      </c>
      <c r="L135">
        <v>5190.54</v>
      </c>
      <c r="M135">
        <v>0</v>
      </c>
      <c r="N135">
        <v>0</v>
      </c>
      <c r="O135">
        <v>44.103999999999999</v>
      </c>
      <c r="P135">
        <v>0</v>
      </c>
      <c r="Q135">
        <v>0</v>
      </c>
      <c r="AX135">
        <v>126.71899999999999</v>
      </c>
      <c r="AY135">
        <v>21.1</v>
      </c>
      <c r="AZ135">
        <v>3.3849999999999998</v>
      </c>
      <c r="BA135">
        <v>1.948</v>
      </c>
      <c r="BB135">
        <v>4227.63</v>
      </c>
      <c r="BC135">
        <v>12</v>
      </c>
      <c r="BD135">
        <v>298.245</v>
      </c>
      <c r="BE135">
        <v>4.97</v>
      </c>
      <c r="BF135">
        <v>0.3</v>
      </c>
      <c r="BG135">
        <v>7.7</v>
      </c>
      <c r="BH135">
        <v>41.046999999999997</v>
      </c>
      <c r="BI135">
        <v>0.9</v>
      </c>
      <c r="BJ135">
        <v>64.069999999999993</v>
      </c>
      <c r="BK135">
        <v>0.61099999999999999</v>
      </c>
      <c r="BL135">
        <v>33475870</v>
      </c>
    </row>
    <row r="136" spans="1:64" x14ac:dyDescent="0.3">
      <c r="A136" t="s">
        <v>288</v>
      </c>
      <c r="B136" t="s">
        <v>85</v>
      </c>
      <c r="C136" t="s">
        <v>289</v>
      </c>
      <c r="D136" s="1">
        <v>45508</v>
      </c>
      <c r="E136">
        <v>157181</v>
      </c>
      <c r="F136">
        <v>12</v>
      </c>
      <c r="G136">
        <v>1.714</v>
      </c>
      <c r="H136">
        <v>3611</v>
      </c>
      <c r="I136">
        <v>0</v>
      </c>
      <c r="J136">
        <v>0</v>
      </c>
      <c r="K136">
        <f t="shared" si="1"/>
        <v>2.0948890649762282</v>
      </c>
      <c r="L136">
        <v>55361.972999999998</v>
      </c>
      <c r="M136">
        <v>4.2270000000000003</v>
      </c>
      <c r="N136">
        <v>0.60399999999999998</v>
      </c>
      <c r="O136">
        <v>1271.8589999999999</v>
      </c>
      <c r="P136">
        <v>0</v>
      </c>
      <c r="Q136">
        <v>0</v>
      </c>
      <c r="AX136">
        <v>266.87900000000002</v>
      </c>
      <c r="AY136">
        <v>31.4</v>
      </c>
      <c r="AZ136">
        <v>9.6839999999999993</v>
      </c>
      <c r="BA136">
        <v>6.39</v>
      </c>
      <c r="BB136">
        <v>8193.5709999999999</v>
      </c>
      <c r="BD136">
        <v>206.53700000000001</v>
      </c>
      <c r="BE136">
        <v>11.28</v>
      </c>
      <c r="BF136">
        <v>5.3</v>
      </c>
      <c r="BG136">
        <v>28.6</v>
      </c>
      <c r="BH136">
        <v>66.424999999999997</v>
      </c>
      <c r="BI136">
        <v>1.7</v>
      </c>
      <c r="BJ136">
        <v>74.47</v>
      </c>
      <c r="BK136">
        <v>0.73399999999999999</v>
      </c>
      <c r="BL136">
        <v>2827382</v>
      </c>
    </row>
    <row r="137" spans="1:64" x14ac:dyDescent="0.3">
      <c r="A137" t="s">
        <v>143</v>
      </c>
      <c r="B137" t="s">
        <v>68</v>
      </c>
      <c r="C137" t="s">
        <v>144</v>
      </c>
      <c r="D137" s="1">
        <v>45508</v>
      </c>
      <c r="E137">
        <v>139319</v>
      </c>
      <c r="F137">
        <v>6</v>
      </c>
      <c r="G137">
        <v>0.85699999999999998</v>
      </c>
      <c r="H137">
        <v>3056</v>
      </c>
      <c r="I137">
        <v>0</v>
      </c>
      <c r="J137">
        <v>0</v>
      </c>
      <c r="K137">
        <f t="shared" ref="K137:K200" si="2">(H130/E130)*100</f>
        <v>2.2924760830513433</v>
      </c>
      <c r="L137">
        <v>8099.134</v>
      </c>
      <c r="M137">
        <v>0.34899999999999998</v>
      </c>
      <c r="N137">
        <v>0.05</v>
      </c>
      <c r="O137">
        <v>177.65700000000001</v>
      </c>
      <c r="P137">
        <v>0</v>
      </c>
      <c r="Q137">
        <v>0</v>
      </c>
      <c r="AX137">
        <v>90.671999999999997</v>
      </c>
      <c r="AY137">
        <v>25.6</v>
      </c>
      <c r="AZ137">
        <v>4.4119999999999999</v>
      </c>
      <c r="BA137">
        <v>2.3849999999999998</v>
      </c>
      <c r="BB137">
        <v>3645.07</v>
      </c>
      <c r="BD137">
        <v>270.892</v>
      </c>
      <c r="BE137">
        <v>4</v>
      </c>
      <c r="BF137">
        <v>2</v>
      </c>
      <c r="BG137">
        <v>33.700000000000003</v>
      </c>
      <c r="BH137">
        <v>66.228999999999999</v>
      </c>
      <c r="BI137">
        <v>0.8</v>
      </c>
      <c r="BJ137">
        <v>69.819999999999993</v>
      </c>
      <c r="BK137">
        <v>0.59399999999999997</v>
      </c>
      <c r="BL137">
        <v>16767851</v>
      </c>
    </row>
    <row r="138" spans="1:64" x14ac:dyDescent="0.3">
      <c r="A138" t="s">
        <v>436</v>
      </c>
      <c r="B138" t="s">
        <v>71</v>
      </c>
      <c r="C138" t="s">
        <v>437</v>
      </c>
      <c r="D138" s="1">
        <v>45508</v>
      </c>
      <c r="E138">
        <v>133264</v>
      </c>
      <c r="F138">
        <v>0</v>
      </c>
      <c r="G138">
        <v>0</v>
      </c>
      <c r="H138">
        <v>1468</v>
      </c>
      <c r="I138">
        <v>0</v>
      </c>
      <c r="J138">
        <v>0</v>
      </c>
      <c r="K138">
        <f t="shared" si="2"/>
        <v>0.16926092964958703</v>
      </c>
      <c r="L138">
        <v>9762.1959999999999</v>
      </c>
      <c r="M138">
        <v>0</v>
      </c>
      <c r="N138">
        <v>0</v>
      </c>
      <c r="O138">
        <v>107.538</v>
      </c>
      <c r="P138">
        <v>0</v>
      </c>
      <c r="Q138">
        <v>0</v>
      </c>
      <c r="AX138">
        <v>494.86900000000003</v>
      </c>
      <c r="AY138">
        <v>20.3</v>
      </c>
      <c r="AZ138">
        <v>2.9740000000000002</v>
      </c>
      <c r="BA138">
        <v>1.6419999999999999</v>
      </c>
      <c r="BB138">
        <v>1854.211</v>
      </c>
      <c r="BC138">
        <v>56</v>
      </c>
      <c r="BD138">
        <v>191.375</v>
      </c>
      <c r="BE138">
        <v>4.28</v>
      </c>
      <c r="BF138">
        <v>4.7</v>
      </c>
      <c r="BG138">
        <v>21</v>
      </c>
      <c r="BH138">
        <v>4.617</v>
      </c>
      <c r="BJ138">
        <v>69.02</v>
      </c>
      <c r="BK138">
        <v>0.54300000000000004</v>
      </c>
      <c r="BL138">
        <v>13776702</v>
      </c>
    </row>
    <row r="139" spans="1:64" x14ac:dyDescent="0.3">
      <c r="A139" t="s">
        <v>145</v>
      </c>
      <c r="B139" t="s">
        <v>71</v>
      </c>
      <c r="C139" t="s">
        <v>146</v>
      </c>
      <c r="D139" s="1">
        <v>45508</v>
      </c>
      <c r="E139">
        <v>125246</v>
      </c>
      <c r="F139">
        <v>0</v>
      </c>
      <c r="G139">
        <v>0</v>
      </c>
      <c r="H139">
        <v>1974</v>
      </c>
      <c r="I139">
        <v>0</v>
      </c>
      <c r="J139">
        <v>0</v>
      </c>
      <c r="K139">
        <f t="shared" si="2"/>
        <v>0.58030283126095916</v>
      </c>
      <c r="L139">
        <v>4532.5159999999996</v>
      </c>
      <c r="M139">
        <v>0</v>
      </c>
      <c r="N139">
        <v>0</v>
      </c>
      <c r="O139">
        <v>71.436999999999998</v>
      </c>
      <c r="P139">
        <v>0</v>
      </c>
      <c r="Q139">
        <v>0</v>
      </c>
      <c r="AX139">
        <v>50.884999999999998</v>
      </c>
      <c r="AY139">
        <v>18.8</v>
      </c>
      <c r="AZ139">
        <v>3.165</v>
      </c>
      <c r="BA139">
        <v>1.919</v>
      </c>
      <c r="BB139">
        <v>3364.9259999999999</v>
      </c>
      <c r="BC139">
        <v>23.8</v>
      </c>
      <c r="BD139">
        <v>244.661</v>
      </c>
      <c r="BE139">
        <v>7.2</v>
      </c>
      <c r="BH139">
        <v>2.7349999999999999</v>
      </c>
      <c r="BI139">
        <v>1.3</v>
      </c>
      <c r="BJ139">
        <v>59.29</v>
      </c>
      <c r="BK139">
        <v>0.56299999999999994</v>
      </c>
      <c r="BL139">
        <v>27914542</v>
      </c>
    </row>
    <row r="140" spans="1:64" x14ac:dyDescent="0.3">
      <c r="A140" t="s">
        <v>340</v>
      </c>
      <c r="B140" t="s">
        <v>73</v>
      </c>
      <c r="C140" t="s">
        <v>341</v>
      </c>
      <c r="D140" s="1">
        <v>45508</v>
      </c>
      <c r="E140">
        <v>122796</v>
      </c>
      <c r="F140">
        <v>80</v>
      </c>
      <c r="G140">
        <v>11.429</v>
      </c>
      <c r="H140">
        <v>922</v>
      </c>
      <c r="I140">
        <v>1</v>
      </c>
      <c r="J140">
        <v>0.14299999999999999</v>
      </c>
      <c r="K140">
        <f t="shared" si="2"/>
        <v>2.3809937808998858</v>
      </c>
      <c r="L140">
        <v>232482.77</v>
      </c>
      <c r="M140">
        <v>151.46</v>
      </c>
      <c r="N140">
        <v>21.637</v>
      </c>
      <c r="O140">
        <v>1745.5709999999999</v>
      </c>
      <c r="P140">
        <v>1.893</v>
      </c>
      <c r="Q140">
        <v>0.27</v>
      </c>
      <c r="AX140">
        <v>1454.037</v>
      </c>
      <c r="AY140">
        <v>42.4</v>
      </c>
      <c r="AZ140">
        <v>19.425999999999998</v>
      </c>
      <c r="BA140">
        <v>11.324</v>
      </c>
      <c r="BB140">
        <v>36513.322999999997</v>
      </c>
      <c r="BC140">
        <v>0.2</v>
      </c>
      <c r="BD140">
        <v>168.71100000000001</v>
      </c>
      <c r="BE140">
        <v>8.83</v>
      </c>
      <c r="BF140">
        <v>20.9</v>
      </c>
      <c r="BG140">
        <v>30.2</v>
      </c>
      <c r="BI140">
        <v>4.4850000000000003</v>
      </c>
      <c r="BJ140">
        <v>82.53</v>
      </c>
      <c r="BK140">
        <v>0.89500000000000002</v>
      </c>
      <c r="BL140">
        <v>533293</v>
      </c>
    </row>
    <row r="141" spans="1:64" x14ac:dyDescent="0.3">
      <c r="A141" t="s">
        <v>109</v>
      </c>
      <c r="B141" t="s">
        <v>85</v>
      </c>
      <c r="C141" t="s">
        <v>110</v>
      </c>
      <c r="D141" s="1">
        <v>45508</v>
      </c>
      <c r="E141">
        <v>108582</v>
      </c>
      <c r="F141">
        <v>57</v>
      </c>
      <c r="G141">
        <v>8.1430000000000007</v>
      </c>
      <c r="H141">
        <v>593</v>
      </c>
      <c r="I141">
        <v>0</v>
      </c>
      <c r="J141">
        <v>0</v>
      </c>
      <c r="K141">
        <f t="shared" si="2"/>
        <v>2.1097389546568772</v>
      </c>
      <c r="L141">
        <v>384600.7</v>
      </c>
      <c r="M141">
        <v>201.89599999999999</v>
      </c>
      <c r="N141">
        <v>28.841999999999999</v>
      </c>
      <c r="O141">
        <v>2100.424</v>
      </c>
      <c r="P141">
        <v>0</v>
      </c>
      <c r="Q141">
        <v>0</v>
      </c>
      <c r="AX141">
        <v>664.46299999999997</v>
      </c>
      <c r="AY141">
        <v>39.799999999999997</v>
      </c>
      <c r="AZ141">
        <v>14.952</v>
      </c>
      <c r="BA141">
        <v>9.4730000000000008</v>
      </c>
      <c r="BB141">
        <v>16978.067999999999</v>
      </c>
      <c r="BD141">
        <v>170.05</v>
      </c>
      <c r="BE141">
        <v>13.57</v>
      </c>
      <c r="BF141">
        <v>1.9</v>
      </c>
      <c r="BG141">
        <v>14.5</v>
      </c>
      <c r="BH141">
        <v>88.468999999999994</v>
      </c>
      <c r="BI141">
        <v>5.8</v>
      </c>
      <c r="BJ141">
        <v>79.19</v>
      </c>
      <c r="BK141">
        <v>0.81399999999999995</v>
      </c>
      <c r="BL141">
        <v>281646</v>
      </c>
    </row>
    <row r="142" spans="1:64" x14ac:dyDescent="0.3">
      <c r="A142" t="s">
        <v>82</v>
      </c>
      <c r="B142" t="s">
        <v>71</v>
      </c>
      <c r="C142" t="s">
        <v>83</v>
      </c>
      <c r="D142" s="1">
        <v>45508</v>
      </c>
      <c r="E142">
        <v>107481</v>
      </c>
      <c r="F142">
        <v>0</v>
      </c>
      <c r="G142">
        <v>0</v>
      </c>
      <c r="H142">
        <v>1937</v>
      </c>
      <c r="I142">
        <v>0</v>
      </c>
      <c r="J142">
        <v>0</v>
      </c>
      <c r="K142">
        <f t="shared" si="2"/>
        <v>0.84969371505620073</v>
      </c>
      <c r="L142">
        <v>3016.1619999999998</v>
      </c>
      <c r="M142">
        <v>0</v>
      </c>
      <c r="N142">
        <v>0</v>
      </c>
      <c r="O142">
        <v>54.356999999999999</v>
      </c>
      <c r="P142">
        <v>0</v>
      </c>
      <c r="Q142">
        <v>0</v>
      </c>
      <c r="AX142">
        <v>23.89</v>
      </c>
      <c r="AY142">
        <v>16.8</v>
      </c>
      <c r="AZ142">
        <v>2.4049999999999998</v>
      </c>
      <c r="BA142">
        <v>1.3620000000000001</v>
      </c>
      <c r="BB142">
        <v>5819.4949999999999</v>
      </c>
      <c r="BD142">
        <v>276.04500000000002</v>
      </c>
      <c r="BE142">
        <v>3.94</v>
      </c>
      <c r="BH142">
        <v>26.664000000000001</v>
      </c>
      <c r="BJ142">
        <v>61.15</v>
      </c>
      <c r="BK142">
        <v>0.58099999999999996</v>
      </c>
      <c r="BL142">
        <v>35588996</v>
      </c>
    </row>
    <row r="143" spans="1:64" x14ac:dyDescent="0.3">
      <c r="A143" t="s">
        <v>183</v>
      </c>
      <c r="B143" t="s">
        <v>71</v>
      </c>
      <c r="C143" t="s">
        <v>184</v>
      </c>
      <c r="D143" s="1">
        <v>45508</v>
      </c>
      <c r="E143">
        <v>101009</v>
      </c>
      <c r="F143">
        <v>0</v>
      </c>
      <c r="G143">
        <v>0</v>
      </c>
      <c r="H143">
        <v>1474</v>
      </c>
      <c r="I143">
        <v>0</v>
      </c>
      <c r="J143">
        <v>0</v>
      </c>
      <c r="K143">
        <f t="shared" si="2"/>
        <v>2.2973514610544532</v>
      </c>
      <c r="L143">
        <v>986.44500000000005</v>
      </c>
      <c r="M143">
        <v>0</v>
      </c>
      <c r="N143">
        <v>0</v>
      </c>
      <c r="O143">
        <v>14.395</v>
      </c>
      <c r="P143">
        <v>0</v>
      </c>
      <c r="Q143">
        <v>0</v>
      </c>
      <c r="AX143">
        <v>35.878999999999998</v>
      </c>
      <c r="AY143">
        <v>17</v>
      </c>
      <c r="AZ143">
        <v>3.02</v>
      </c>
      <c r="BA143">
        <v>1.7450000000000001</v>
      </c>
      <c r="BB143">
        <v>808.13300000000004</v>
      </c>
      <c r="BC143">
        <v>77.099999999999994</v>
      </c>
      <c r="BD143">
        <v>318.94900000000001</v>
      </c>
      <c r="BE143">
        <v>6.1</v>
      </c>
      <c r="BH143">
        <v>4.4720000000000004</v>
      </c>
      <c r="BJ143">
        <v>60.68</v>
      </c>
      <c r="BK143">
        <v>0.48</v>
      </c>
      <c r="BL143">
        <v>99010216</v>
      </c>
    </row>
    <row r="144" spans="1:64" x14ac:dyDescent="0.3">
      <c r="A144" t="s">
        <v>224</v>
      </c>
      <c r="B144" t="s">
        <v>90</v>
      </c>
      <c r="C144" t="s">
        <v>225</v>
      </c>
      <c r="D144" s="1">
        <v>45508</v>
      </c>
      <c r="E144">
        <v>98041</v>
      </c>
      <c r="F144">
        <v>0</v>
      </c>
      <c r="G144">
        <v>0</v>
      </c>
      <c r="H144">
        <v>413</v>
      </c>
      <c r="I144">
        <v>0</v>
      </c>
      <c r="J144">
        <v>0</v>
      </c>
      <c r="K144">
        <f t="shared" si="2"/>
        <v>2.1935270853221742</v>
      </c>
      <c r="L144">
        <v>328644.84000000003</v>
      </c>
      <c r="M144">
        <v>0</v>
      </c>
      <c r="N144">
        <v>0</v>
      </c>
      <c r="O144">
        <v>1384.424</v>
      </c>
      <c r="P144">
        <v>0</v>
      </c>
      <c r="Q144">
        <v>0</v>
      </c>
      <c r="AY144">
        <v>25.3</v>
      </c>
      <c r="BA144">
        <v>2.8969999999999998</v>
      </c>
      <c r="BJ144">
        <v>79.95</v>
      </c>
      <c r="BL144">
        <v>304568</v>
      </c>
    </row>
    <row r="145" spans="1:64" x14ac:dyDescent="0.3">
      <c r="A145" t="s">
        <v>460</v>
      </c>
      <c r="B145" t="s">
        <v>71</v>
      </c>
      <c r="C145" t="s">
        <v>461</v>
      </c>
      <c r="D145" s="1">
        <v>45508</v>
      </c>
      <c r="E145">
        <v>89485</v>
      </c>
      <c r="F145">
        <v>0</v>
      </c>
      <c r="G145">
        <v>0</v>
      </c>
      <c r="H145">
        <v>1971</v>
      </c>
      <c r="I145">
        <v>0</v>
      </c>
      <c r="J145">
        <v>0</v>
      </c>
      <c r="K145">
        <f t="shared" si="2"/>
        <v>1.1015728178652899</v>
      </c>
      <c r="L145">
        <v>5069.6559999999999</v>
      </c>
      <c r="M145">
        <v>0</v>
      </c>
      <c r="N145">
        <v>0</v>
      </c>
      <c r="O145">
        <v>111.664</v>
      </c>
      <c r="P145">
        <v>0</v>
      </c>
      <c r="Q145">
        <v>0</v>
      </c>
      <c r="AX145">
        <v>82.328000000000003</v>
      </c>
      <c r="AY145">
        <v>18.7</v>
      </c>
      <c r="AZ145">
        <v>3.008</v>
      </c>
      <c r="BA145">
        <v>1.796</v>
      </c>
      <c r="BB145">
        <v>2470.58</v>
      </c>
      <c r="BC145">
        <v>38</v>
      </c>
      <c r="BD145">
        <v>241.21899999999999</v>
      </c>
      <c r="BE145">
        <v>2.42</v>
      </c>
      <c r="BF145">
        <v>0.4</v>
      </c>
      <c r="BG145">
        <v>16.600000000000001</v>
      </c>
      <c r="BH145">
        <v>20.859000000000002</v>
      </c>
      <c r="BJ145">
        <v>67.94</v>
      </c>
      <c r="BK145">
        <v>0.51200000000000001</v>
      </c>
      <c r="BL145">
        <v>17316452</v>
      </c>
    </row>
    <row r="146" spans="1:64" x14ac:dyDescent="0.3">
      <c r="A146" t="s">
        <v>332</v>
      </c>
      <c r="B146" t="s">
        <v>71</v>
      </c>
      <c r="C146" t="s">
        <v>333</v>
      </c>
      <c r="D146" s="1">
        <v>45508</v>
      </c>
      <c r="E146">
        <v>89168</v>
      </c>
      <c r="F146">
        <v>0</v>
      </c>
      <c r="G146">
        <v>0</v>
      </c>
      <c r="H146">
        <v>2686</v>
      </c>
      <c r="I146">
        <v>0</v>
      </c>
      <c r="J146">
        <v>0</v>
      </c>
      <c r="K146">
        <f t="shared" si="2"/>
        <v>1.5760982386663049</v>
      </c>
      <c r="L146">
        <v>4335.1239999999998</v>
      </c>
      <c r="M146">
        <v>0</v>
      </c>
      <c r="N146">
        <v>0</v>
      </c>
      <c r="O146">
        <v>130.58699999999999</v>
      </c>
      <c r="P146">
        <v>0</v>
      </c>
      <c r="Q146">
        <v>0</v>
      </c>
      <c r="AX146">
        <v>197.51900000000001</v>
      </c>
      <c r="AY146">
        <v>18.100000000000001</v>
      </c>
      <c r="AZ146">
        <v>2.9790000000000001</v>
      </c>
      <c r="BA146">
        <v>1.7829999999999999</v>
      </c>
      <c r="BB146">
        <v>1095.0419999999999</v>
      </c>
      <c r="BC146">
        <v>71.400000000000006</v>
      </c>
      <c r="BD146">
        <v>227.34899999999999</v>
      </c>
      <c r="BE146">
        <v>3.94</v>
      </c>
      <c r="BF146">
        <v>4.4000000000000004</v>
      </c>
      <c r="BG146">
        <v>24.7</v>
      </c>
      <c r="BH146">
        <v>8.7040000000000006</v>
      </c>
      <c r="BI146">
        <v>1.3</v>
      </c>
      <c r="BJ146">
        <v>64.260000000000005</v>
      </c>
      <c r="BK146">
        <v>0.48299999999999998</v>
      </c>
      <c r="BL146">
        <v>20405318</v>
      </c>
    </row>
    <row r="147" spans="1:64" x14ac:dyDescent="0.3">
      <c r="A147" t="s">
        <v>306</v>
      </c>
      <c r="B147" t="s">
        <v>68</v>
      </c>
      <c r="C147" t="s">
        <v>307</v>
      </c>
      <c r="D147" s="1">
        <v>45508</v>
      </c>
      <c r="E147">
        <v>88953</v>
      </c>
      <c r="F147">
        <v>0</v>
      </c>
      <c r="G147">
        <v>0</v>
      </c>
      <c r="H147">
        <v>1024</v>
      </c>
      <c r="I147">
        <v>0</v>
      </c>
      <c r="J147">
        <v>0</v>
      </c>
      <c r="K147">
        <f t="shared" si="2"/>
        <v>0.75083878953711847</v>
      </c>
      <c r="L147">
        <v>12788.334999999999</v>
      </c>
      <c r="M147">
        <v>0</v>
      </c>
      <c r="N147">
        <v>0</v>
      </c>
      <c r="O147">
        <v>147.215</v>
      </c>
      <c r="P147">
        <v>0</v>
      </c>
      <c r="Q147">
        <v>0</v>
      </c>
      <c r="AX147">
        <v>32.332999999999998</v>
      </c>
      <c r="AY147">
        <v>26.3</v>
      </c>
      <c r="AZ147">
        <v>4.4889999999999999</v>
      </c>
      <c r="BA147">
        <v>2.8820000000000001</v>
      </c>
      <c r="BB147">
        <v>3393.4740000000002</v>
      </c>
      <c r="BC147">
        <v>1.4</v>
      </c>
      <c r="BD147">
        <v>436.36200000000002</v>
      </c>
      <c r="BE147">
        <v>7.11</v>
      </c>
      <c r="BF147">
        <v>3.6</v>
      </c>
      <c r="BG147">
        <v>50.5</v>
      </c>
      <c r="BH147">
        <v>89.22</v>
      </c>
      <c r="BI147">
        <v>4.5</v>
      </c>
      <c r="BJ147">
        <v>71.45</v>
      </c>
      <c r="BK147">
        <v>0.69699999999999995</v>
      </c>
      <c r="BL147">
        <v>6630621</v>
      </c>
    </row>
    <row r="148" spans="1:64" x14ac:dyDescent="0.3">
      <c r="A148" t="s">
        <v>171</v>
      </c>
      <c r="B148" t="s">
        <v>71</v>
      </c>
      <c r="C148" t="s">
        <v>172</v>
      </c>
      <c r="D148" s="1">
        <v>45508</v>
      </c>
      <c r="E148">
        <v>88434</v>
      </c>
      <c r="F148">
        <v>0</v>
      </c>
      <c r="G148">
        <v>0</v>
      </c>
      <c r="H148">
        <v>835</v>
      </c>
      <c r="I148">
        <v>0</v>
      </c>
      <c r="J148">
        <v>0</v>
      </c>
      <c r="K148">
        <f t="shared" si="2"/>
        <v>0.54613103460978796</v>
      </c>
      <c r="L148">
        <v>2909.4920000000002</v>
      </c>
      <c r="M148">
        <v>0</v>
      </c>
      <c r="N148">
        <v>0</v>
      </c>
      <c r="O148">
        <v>27.472000000000001</v>
      </c>
      <c r="P148">
        <v>0</v>
      </c>
      <c r="Q148">
        <v>0</v>
      </c>
      <c r="AX148">
        <v>76.399000000000001</v>
      </c>
      <c r="AY148">
        <v>18.7</v>
      </c>
      <c r="AZ148">
        <v>2.9329999999999998</v>
      </c>
      <c r="BA148">
        <v>1.5820000000000001</v>
      </c>
      <c r="BB148">
        <v>3601.0059999999999</v>
      </c>
      <c r="BC148">
        <v>28.2</v>
      </c>
      <c r="BD148">
        <v>303.74</v>
      </c>
      <c r="BE148">
        <v>2.42</v>
      </c>
      <c r="BH148">
        <v>19.350999999999999</v>
      </c>
      <c r="BJ148">
        <v>57.78</v>
      </c>
      <c r="BK148">
        <v>0.53800000000000003</v>
      </c>
      <c r="BL148">
        <v>28160548</v>
      </c>
    </row>
    <row r="149" spans="1:64" x14ac:dyDescent="0.3">
      <c r="A149" t="s">
        <v>493</v>
      </c>
      <c r="B149" t="s">
        <v>90</v>
      </c>
      <c r="C149" t="s">
        <v>494</v>
      </c>
      <c r="D149" s="1">
        <v>45508</v>
      </c>
      <c r="E149">
        <v>82501</v>
      </c>
      <c r="F149">
        <v>0</v>
      </c>
      <c r="G149">
        <v>0</v>
      </c>
      <c r="H149">
        <v>1406</v>
      </c>
      <c r="I149">
        <v>0</v>
      </c>
      <c r="J149">
        <v>0</v>
      </c>
      <c r="K149">
        <f t="shared" si="2"/>
        <v>1.8021789897749372</v>
      </c>
      <c r="L149">
        <v>132388.6</v>
      </c>
      <c r="M149">
        <v>0</v>
      </c>
      <c r="N149">
        <v>0</v>
      </c>
      <c r="O149">
        <v>2256.1950000000002</v>
      </c>
      <c r="P149">
        <v>0</v>
      </c>
      <c r="Q149">
        <v>0</v>
      </c>
      <c r="AX149">
        <v>3.6120000000000001</v>
      </c>
      <c r="AY149">
        <v>29.6</v>
      </c>
      <c r="AZ149">
        <v>6.9329999999999998</v>
      </c>
      <c r="BA149">
        <v>4.2290000000000001</v>
      </c>
      <c r="BB149">
        <v>13767.119000000001</v>
      </c>
      <c r="BD149">
        <v>258.31400000000002</v>
      </c>
      <c r="BE149">
        <v>12.54</v>
      </c>
      <c r="BF149">
        <v>7.4</v>
      </c>
      <c r="BG149">
        <v>42.9</v>
      </c>
      <c r="BH149">
        <v>67.778999999999996</v>
      </c>
      <c r="BI149">
        <v>3.1</v>
      </c>
      <c r="BJ149">
        <v>71.680000000000007</v>
      </c>
      <c r="BK149">
        <v>0.73799999999999999</v>
      </c>
      <c r="BL149">
        <v>618046</v>
      </c>
    </row>
    <row r="150" spans="1:64" x14ac:dyDescent="0.3">
      <c r="A150" t="s">
        <v>380</v>
      </c>
      <c r="B150" t="s">
        <v>78</v>
      </c>
      <c r="C150" t="s">
        <v>381</v>
      </c>
      <c r="D150" s="1">
        <v>45508</v>
      </c>
      <c r="E150">
        <v>80163</v>
      </c>
      <c r="F150">
        <v>0</v>
      </c>
      <c r="G150">
        <v>0</v>
      </c>
      <c r="H150">
        <v>314</v>
      </c>
      <c r="I150">
        <v>0</v>
      </c>
      <c r="J150">
        <v>0</v>
      </c>
      <c r="K150">
        <f t="shared" si="2"/>
        <v>1.4592759061073766</v>
      </c>
      <c r="L150">
        <v>279186.15999999997</v>
      </c>
      <c r="M150">
        <v>0</v>
      </c>
      <c r="N150">
        <v>0</v>
      </c>
      <c r="O150">
        <v>1093.578</v>
      </c>
      <c r="P150">
        <v>0</v>
      </c>
      <c r="Q150">
        <v>0</v>
      </c>
      <c r="AX150">
        <v>15.342000000000001</v>
      </c>
      <c r="AY150">
        <v>33.4</v>
      </c>
      <c r="AZ150">
        <v>9.9540000000000006</v>
      </c>
      <c r="BA150">
        <v>6.4889999999999999</v>
      </c>
      <c r="BE150">
        <v>23.36</v>
      </c>
      <c r="BJ150">
        <v>77.55</v>
      </c>
      <c r="BL150">
        <v>289959</v>
      </c>
    </row>
    <row r="151" spans="1:64" x14ac:dyDescent="0.3">
      <c r="A151" t="s">
        <v>226</v>
      </c>
      <c r="B151" t="s">
        <v>78</v>
      </c>
      <c r="C151" t="s">
        <v>227</v>
      </c>
      <c r="D151" s="1">
        <v>45508</v>
      </c>
      <c r="E151">
        <v>79387</v>
      </c>
      <c r="F151">
        <v>47</v>
      </c>
      <c r="G151">
        <v>6.7140000000000004</v>
      </c>
      <c r="H151">
        <v>650</v>
      </c>
      <c r="I151">
        <v>0</v>
      </c>
      <c r="J151">
        <v>0</v>
      </c>
      <c r="K151">
        <f t="shared" si="2"/>
        <v>0.42125233320753563</v>
      </c>
      <c r="L151">
        <v>283131.65999999997</v>
      </c>
      <c r="M151">
        <v>167.624</v>
      </c>
      <c r="N151">
        <v>23.946000000000002</v>
      </c>
      <c r="O151">
        <v>2318.2080000000001</v>
      </c>
      <c r="P151">
        <v>0</v>
      </c>
      <c r="Q151">
        <v>0</v>
      </c>
      <c r="AX151">
        <v>77.323999999999998</v>
      </c>
      <c r="AY151">
        <v>32.700000000000003</v>
      </c>
      <c r="AZ151">
        <v>7.7750000000000004</v>
      </c>
      <c r="BA151">
        <v>4.593</v>
      </c>
      <c r="BE151">
        <v>22.63</v>
      </c>
      <c r="BJ151">
        <v>77.66</v>
      </c>
      <c r="BL151">
        <v>306292</v>
      </c>
    </row>
    <row r="152" spans="1:64" x14ac:dyDescent="0.3">
      <c r="A152" t="s">
        <v>207</v>
      </c>
      <c r="B152" t="s">
        <v>71</v>
      </c>
      <c r="C152" t="s">
        <v>208</v>
      </c>
      <c r="D152" s="1">
        <v>45508</v>
      </c>
      <c r="E152">
        <v>75356</v>
      </c>
      <c r="F152">
        <v>0</v>
      </c>
      <c r="G152">
        <v>0</v>
      </c>
      <c r="H152">
        <v>1427</v>
      </c>
      <c r="I152">
        <v>0</v>
      </c>
      <c r="J152">
        <v>0</v>
      </c>
      <c r="K152">
        <f t="shared" si="2"/>
        <v>2.2026037883444154</v>
      </c>
      <c r="L152">
        <v>61821.89</v>
      </c>
      <c r="M152">
        <v>0</v>
      </c>
      <c r="N152">
        <v>0</v>
      </c>
      <c r="O152">
        <v>1170.7080000000001</v>
      </c>
      <c r="P152">
        <v>0</v>
      </c>
      <c r="Q152">
        <v>0</v>
      </c>
      <c r="AX152">
        <v>79.492000000000004</v>
      </c>
      <c r="AY152">
        <v>21.5</v>
      </c>
      <c r="AZ152">
        <v>3.1629999999999998</v>
      </c>
      <c r="BA152">
        <v>1.845</v>
      </c>
      <c r="BB152">
        <v>7738.9750000000004</v>
      </c>
      <c r="BD152">
        <v>333.43599999999998</v>
      </c>
      <c r="BE152">
        <v>3.94</v>
      </c>
      <c r="BF152">
        <v>1.7</v>
      </c>
      <c r="BG152">
        <v>16.5</v>
      </c>
      <c r="BH152">
        <v>24.097000000000001</v>
      </c>
      <c r="BI152">
        <v>2.1</v>
      </c>
      <c r="BJ152">
        <v>60.19</v>
      </c>
      <c r="BK152">
        <v>0.61099999999999999</v>
      </c>
      <c r="BL152">
        <v>1201680</v>
      </c>
    </row>
    <row r="153" spans="1:64" x14ac:dyDescent="0.3">
      <c r="A153" t="s">
        <v>258</v>
      </c>
      <c r="B153" t="s">
        <v>90</v>
      </c>
      <c r="C153" t="s">
        <v>259</v>
      </c>
      <c r="D153" s="1">
        <v>45508</v>
      </c>
      <c r="E153">
        <v>74443</v>
      </c>
      <c r="F153">
        <v>4</v>
      </c>
      <c r="G153">
        <v>0.57099999999999995</v>
      </c>
      <c r="H153">
        <v>1302</v>
      </c>
      <c r="I153">
        <v>0</v>
      </c>
      <c r="J153">
        <v>0</v>
      </c>
      <c r="K153">
        <f t="shared" si="2"/>
        <v>3.0122914049883365</v>
      </c>
      <c r="L153">
        <v>90603.38</v>
      </c>
      <c r="M153">
        <v>4.8680000000000003</v>
      </c>
      <c r="N153">
        <v>0.69499999999999995</v>
      </c>
      <c r="O153">
        <v>1584.643</v>
      </c>
      <c r="P153">
        <v>0</v>
      </c>
      <c r="Q153">
        <v>0</v>
      </c>
      <c r="AX153">
        <v>3.952</v>
      </c>
      <c r="AY153">
        <v>26.3</v>
      </c>
      <c r="AZ153">
        <v>5.3049999999999997</v>
      </c>
      <c r="BA153">
        <v>2.8370000000000002</v>
      </c>
      <c r="BB153">
        <v>7435.0469999999996</v>
      </c>
      <c r="BD153">
        <v>373.15899999999999</v>
      </c>
      <c r="BE153">
        <v>11.62</v>
      </c>
      <c r="BH153">
        <v>77.159000000000006</v>
      </c>
      <c r="BI153">
        <v>1.6</v>
      </c>
      <c r="BJ153">
        <v>69.91</v>
      </c>
      <c r="BK153">
        <v>0.68200000000000005</v>
      </c>
      <c r="BL153">
        <v>808727</v>
      </c>
    </row>
    <row r="154" spans="1:64" x14ac:dyDescent="0.3">
      <c r="A154" t="s">
        <v>115</v>
      </c>
      <c r="B154" t="s">
        <v>85</v>
      </c>
      <c r="C154" t="s">
        <v>116</v>
      </c>
      <c r="D154" s="1">
        <v>45508</v>
      </c>
      <c r="E154">
        <v>71414</v>
      </c>
      <c r="F154">
        <v>0</v>
      </c>
      <c r="G154">
        <v>0</v>
      </c>
      <c r="H154">
        <v>688</v>
      </c>
      <c r="I154">
        <v>0</v>
      </c>
      <c r="J154">
        <v>0</v>
      </c>
      <c r="K154">
        <f t="shared" si="2"/>
        <v>1.1511697188402863</v>
      </c>
      <c r="L154">
        <v>177319.92</v>
      </c>
      <c r="M154">
        <v>0</v>
      </c>
      <c r="N154">
        <v>0</v>
      </c>
      <c r="O154">
        <v>1708.2940000000001</v>
      </c>
      <c r="P154">
        <v>0</v>
      </c>
      <c r="Q154">
        <v>0</v>
      </c>
      <c r="AX154">
        <v>16.425999999999998</v>
      </c>
      <c r="AY154">
        <v>25</v>
      </c>
      <c r="AZ154">
        <v>3.8530000000000002</v>
      </c>
      <c r="BA154">
        <v>2.2789999999999999</v>
      </c>
      <c r="BB154">
        <v>7824.3620000000001</v>
      </c>
      <c r="BD154">
        <v>176.95699999999999</v>
      </c>
      <c r="BE154">
        <v>17.11</v>
      </c>
      <c r="BH154">
        <v>90.082999999999998</v>
      </c>
      <c r="BI154">
        <v>1.3</v>
      </c>
      <c r="BJ154">
        <v>74.62</v>
      </c>
      <c r="BK154">
        <v>0.71599999999999997</v>
      </c>
      <c r="BL154">
        <v>405285</v>
      </c>
    </row>
    <row r="155" spans="1:64" x14ac:dyDescent="0.3">
      <c r="A155" t="s">
        <v>218</v>
      </c>
      <c r="B155" t="s">
        <v>78</v>
      </c>
      <c r="C155" t="s">
        <v>219</v>
      </c>
      <c r="D155" s="1">
        <v>45508</v>
      </c>
      <c r="E155">
        <v>69047</v>
      </c>
      <c r="F155">
        <v>0</v>
      </c>
      <c r="G155">
        <v>0</v>
      </c>
      <c r="H155">
        <v>885</v>
      </c>
      <c r="I155">
        <v>0</v>
      </c>
      <c r="J155">
        <v>0</v>
      </c>
      <c r="K155">
        <f t="shared" si="2"/>
        <v>0.94420697921613861</v>
      </c>
      <c r="L155">
        <v>75097.78</v>
      </c>
      <c r="M155">
        <v>0</v>
      </c>
      <c r="N155">
        <v>0</v>
      </c>
      <c r="O155">
        <v>962.55499999999995</v>
      </c>
      <c r="P155">
        <v>0</v>
      </c>
      <c r="Q155">
        <v>0</v>
      </c>
      <c r="AX155">
        <v>49.561999999999998</v>
      </c>
      <c r="AY155">
        <v>28.6</v>
      </c>
      <c r="AZ155">
        <v>6.2240000000000002</v>
      </c>
      <c r="BA155">
        <v>3.2839999999999998</v>
      </c>
      <c r="BB155">
        <v>8702.9750000000004</v>
      </c>
      <c r="BC155">
        <v>1.4</v>
      </c>
      <c r="BD155">
        <v>412.82</v>
      </c>
      <c r="BE155">
        <v>14.49</v>
      </c>
      <c r="BF155">
        <v>10.199999999999999</v>
      </c>
      <c r="BG155">
        <v>34.799999999999997</v>
      </c>
      <c r="BI155">
        <v>2.2999999999999998</v>
      </c>
      <c r="BJ155">
        <v>67.44</v>
      </c>
      <c r="BK155">
        <v>0.74299999999999999</v>
      </c>
      <c r="BL155">
        <v>929769</v>
      </c>
    </row>
    <row r="156" spans="1:64" x14ac:dyDescent="0.3">
      <c r="A156" t="s">
        <v>330</v>
      </c>
      <c r="B156" t="s">
        <v>71</v>
      </c>
      <c r="C156" t="s">
        <v>331</v>
      </c>
      <c r="D156" s="1">
        <v>45508</v>
      </c>
      <c r="E156">
        <v>68567</v>
      </c>
      <c r="F156">
        <v>0</v>
      </c>
      <c r="G156">
        <v>0</v>
      </c>
      <c r="H156">
        <v>1428</v>
      </c>
      <c r="I156">
        <v>0</v>
      </c>
      <c r="J156">
        <v>0</v>
      </c>
      <c r="K156">
        <f t="shared" si="2"/>
        <v>1.7042217670088848</v>
      </c>
      <c r="L156">
        <v>2252.732</v>
      </c>
      <c r="M156">
        <v>0</v>
      </c>
      <c r="N156">
        <v>0</v>
      </c>
      <c r="O156">
        <v>46.915999999999997</v>
      </c>
      <c r="P156">
        <v>0</v>
      </c>
      <c r="Q156">
        <v>0</v>
      </c>
      <c r="AX156">
        <v>43.951000000000001</v>
      </c>
      <c r="AY156">
        <v>19.600000000000001</v>
      </c>
      <c r="AZ156">
        <v>2.9289999999999998</v>
      </c>
      <c r="BA156">
        <v>1.6859999999999999</v>
      </c>
      <c r="BB156">
        <v>1416.44</v>
      </c>
      <c r="BC156">
        <v>77.599999999999994</v>
      </c>
      <c r="BD156">
        <v>405.99400000000003</v>
      </c>
      <c r="BE156">
        <v>3.94</v>
      </c>
      <c r="BH156">
        <v>50.54</v>
      </c>
      <c r="BI156">
        <v>0.2</v>
      </c>
      <c r="BJ156">
        <v>67.040000000000006</v>
      </c>
      <c r="BK156">
        <v>0.52800000000000002</v>
      </c>
      <c r="BL156">
        <v>29611718</v>
      </c>
    </row>
    <row r="157" spans="1:64" x14ac:dyDescent="0.3">
      <c r="A157" t="s">
        <v>292</v>
      </c>
      <c r="B157" t="s">
        <v>73</v>
      </c>
      <c r="C157" t="s">
        <v>293</v>
      </c>
      <c r="D157" s="1">
        <v>45508</v>
      </c>
      <c r="E157">
        <v>66391</v>
      </c>
      <c r="F157">
        <v>0</v>
      </c>
      <c r="G157">
        <v>0</v>
      </c>
      <c r="H157">
        <v>161</v>
      </c>
      <c r="I157">
        <v>0</v>
      </c>
      <c r="J157">
        <v>0</v>
      </c>
      <c r="K157">
        <f t="shared" si="2"/>
        <v>0.39170190736374638</v>
      </c>
      <c r="L157">
        <v>641502.30000000005</v>
      </c>
      <c r="M157">
        <v>0</v>
      </c>
      <c r="N157">
        <v>0</v>
      </c>
      <c r="O157">
        <v>1555.6610000000001</v>
      </c>
      <c r="P157">
        <v>0</v>
      </c>
      <c r="Q157">
        <v>0</v>
      </c>
      <c r="BL157">
        <v>110796</v>
      </c>
    </row>
    <row r="158" spans="1:64" x14ac:dyDescent="0.3">
      <c r="A158" t="s">
        <v>149</v>
      </c>
      <c r="B158" t="s">
        <v>71</v>
      </c>
      <c r="C158" t="s">
        <v>150</v>
      </c>
      <c r="D158" s="1">
        <v>45508</v>
      </c>
      <c r="E158">
        <v>64474</v>
      </c>
      <c r="F158">
        <v>0</v>
      </c>
      <c r="G158">
        <v>0</v>
      </c>
      <c r="H158">
        <v>417</v>
      </c>
      <c r="I158">
        <v>0</v>
      </c>
      <c r="J158">
        <v>0</v>
      </c>
      <c r="K158">
        <f t="shared" si="2"/>
        <v>0.81877385466134245</v>
      </c>
      <c r="L158">
        <v>124048.1</v>
      </c>
      <c r="M158">
        <v>0</v>
      </c>
      <c r="N158">
        <v>0</v>
      </c>
      <c r="O158">
        <v>802.30899999999997</v>
      </c>
      <c r="P158">
        <v>0</v>
      </c>
      <c r="Q158">
        <v>0</v>
      </c>
      <c r="AX158">
        <v>135.58000000000001</v>
      </c>
      <c r="AY158">
        <v>25.7</v>
      </c>
      <c r="AZ158">
        <v>4.46</v>
      </c>
      <c r="BA158">
        <v>3.4369999999999998</v>
      </c>
      <c r="BB158">
        <v>6222.5540000000001</v>
      </c>
      <c r="BD158">
        <v>182.21899999999999</v>
      </c>
      <c r="BE158">
        <v>2.42</v>
      </c>
      <c r="BF158">
        <v>2.1</v>
      </c>
      <c r="BG158">
        <v>16.5</v>
      </c>
      <c r="BI158">
        <v>2.1</v>
      </c>
      <c r="BJ158">
        <v>72.98</v>
      </c>
      <c r="BK158">
        <v>0.66500000000000004</v>
      </c>
      <c r="BL158">
        <v>593162</v>
      </c>
    </row>
    <row r="159" spans="1:64" x14ac:dyDescent="0.3">
      <c r="A159" t="s">
        <v>491</v>
      </c>
      <c r="B159" t="s">
        <v>71</v>
      </c>
      <c r="C159" t="s">
        <v>492</v>
      </c>
      <c r="D159" s="1">
        <v>45508</v>
      </c>
      <c r="E159">
        <v>63993</v>
      </c>
      <c r="F159">
        <v>0</v>
      </c>
      <c r="G159">
        <v>0</v>
      </c>
      <c r="H159">
        <v>5046</v>
      </c>
      <c r="I159">
        <v>0</v>
      </c>
      <c r="J159">
        <v>0</v>
      </c>
      <c r="K159">
        <f t="shared" si="2"/>
        <v>1.8936780083868572</v>
      </c>
      <c r="L159">
        <v>1295.8420000000001</v>
      </c>
      <c r="M159">
        <v>0</v>
      </c>
      <c r="N159">
        <v>0</v>
      </c>
      <c r="O159">
        <v>102.18</v>
      </c>
      <c r="P159">
        <v>0</v>
      </c>
      <c r="Q159">
        <v>0</v>
      </c>
      <c r="AX159">
        <v>23.257999999999999</v>
      </c>
      <c r="AY159">
        <v>19.7</v>
      </c>
      <c r="AZ159">
        <v>3.548</v>
      </c>
      <c r="BA159">
        <v>2.0339999999999998</v>
      </c>
      <c r="BB159">
        <v>4466.5069999999996</v>
      </c>
      <c r="BD159">
        <v>431.38799999999998</v>
      </c>
      <c r="BE159">
        <v>15.67</v>
      </c>
      <c r="BH159">
        <v>23.437000000000001</v>
      </c>
      <c r="BI159">
        <v>0.8</v>
      </c>
      <c r="BJ159">
        <v>65.31</v>
      </c>
      <c r="BK159">
        <v>0.51</v>
      </c>
      <c r="BL159">
        <v>46874200</v>
      </c>
    </row>
    <row r="160" spans="1:64" x14ac:dyDescent="0.3">
      <c r="A160" t="s">
        <v>346</v>
      </c>
      <c r="B160" t="s">
        <v>71</v>
      </c>
      <c r="C160" t="s">
        <v>347</v>
      </c>
      <c r="D160" s="1">
        <v>45508</v>
      </c>
      <c r="E160">
        <v>63872</v>
      </c>
      <c r="F160">
        <v>0</v>
      </c>
      <c r="G160">
        <v>0</v>
      </c>
      <c r="H160">
        <v>997</v>
      </c>
      <c r="I160">
        <v>0</v>
      </c>
      <c r="J160">
        <v>0</v>
      </c>
      <c r="K160">
        <f t="shared" si="2"/>
        <v>1.7489891594911544</v>
      </c>
      <c r="L160">
        <v>13100.216</v>
      </c>
      <c r="M160">
        <v>0</v>
      </c>
      <c r="N160">
        <v>0</v>
      </c>
      <c r="O160">
        <v>204.48599999999999</v>
      </c>
      <c r="P160">
        <v>0</v>
      </c>
      <c r="Q160">
        <v>0</v>
      </c>
      <c r="AX160">
        <v>4.2889999999999997</v>
      </c>
      <c r="AY160">
        <v>20.3</v>
      </c>
      <c r="AZ160">
        <v>3.1379999999999999</v>
      </c>
      <c r="BA160">
        <v>1.792</v>
      </c>
      <c r="BB160">
        <v>3597.6329999999998</v>
      </c>
      <c r="BC160">
        <v>6</v>
      </c>
      <c r="BD160">
        <v>232.34700000000001</v>
      </c>
      <c r="BE160">
        <v>2.42</v>
      </c>
      <c r="BH160">
        <v>15.95</v>
      </c>
      <c r="BJ160">
        <v>64.92</v>
      </c>
      <c r="BK160">
        <v>0.54600000000000004</v>
      </c>
      <c r="BL160">
        <v>4736146</v>
      </c>
    </row>
    <row r="161" spans="1:64" x14ac:dyDescent="0.3">
      <c r="A161" t="s">
        <v>121</v>
      </c>
      <c r="B161" t="s">
        <v>68</v>
      </c>
      <c r="C161" t="s">
        <v>122</v>
      </c>
      <c r="D161" s="1">
        <v>45508</v>
      </c>
      <c r="E161">
        <v>62697</v>
      </c>
      <c r="F161">
        <v>0</v>
      </c>
      <c r="G161">
        <v>0</v>
      </c>
      <c r="H161">
        <v>21</v>
      </c>
      <c r="I161">
        <v>0</v>
      </c>
      <c r="J161">
        <v>0</v>
      </c>
      <c r="K161">
        <f t="shared" si="2"/>
        <v>0.96339653289270999</v>
      </c>
      <c r="L161">
        <v>80286.070000000007</v>
      </c>
      <c r="M161">
        <v>0</v>
      </c>
      <c r="N161">
        <v>0</v>
      </c>
      <c r="O161">
        <v>26.890999999999998</v>
      </c>
      <c r="P161">
        <v>0</v>
      </c>
      <c r="Q161">
        <v>0</v>
      </c>
      <c r="AX161">
        <v>21.187999999999999</v>
      </c>
      <c r="AY161">
        <v>28.6</v>
      </c>
      <c r="AZ161">
        <v>4.8849999999999998</v>
      </c>
      <c r="BA161">
        <v>2.9769999999999999</v>
      </c>
      <c r="BB161">
        <v>8708.5969999999998</v>
      </c>
      <c r="BC161">
        <v>1.5</v>
      </c>
      <c r="BD161">
        <v>217.066</v>
      </c>
      <c r="BE161">
        <v>9.75</v>
      </c>
      <c r="BH161">
        <v>79.807000000000002</v>
      </c>
      <c r="BI161">
        <v>1.7</v>
      </c>
      <c r="BJ161">
        <v>71.78</v>
      </c>
      <c r="BK161">
        <v>0.65400000000000003</v>
      </c>
      <c r="BL161">
        <v>782457</v>
      </c>
    </row>
    <row r="162" spans="1:64" x14ac:dyDescent="0.3">
      <c r="A162" t="s">
        <v>499</v>
      </c>
      <c r="B162" t="s">
        <v>68</v>
      </c>
      <c r="C162" t="s">
        <v>500</v>
      </c>
      <c r="D162" s="1">
        <v>45508</v>
      </c>
      <c r="E162">
        <v>57423</v>
      </c>
      <c r="F162">
        <v>0</v>
      </c>
      <c r="G162">
        <v>0</v>
      </c>
      <c r="H162">
        <v>3163</v>
      </c>
      <c r="I162">
        <v>0</v>
      </c>
      <c r="J162">
        <v>0</v>
      </c>
      <c r="K162">
        <f t="shared" si="2"/>
        <v>1.2817356293539184</v>
      </c>
      <c r="L162">
        <v>2556.4319999999998</v>
      </c>
      <c r="M162">
        <v>0</v>
      </c>
      <c r="N162">
        <v>0</v>
      </c>
      <c r="O162">
        <v>140.815</v>
      </c>
      <c r="P162">
        <v>0</v>
      </c>
      <c r="Q162">
        <v>0</v>
      </c>
      <c r="AY162">
        <v>21.7</v>
      </c>
      <c r="BA162">
        <v>2.577</v>
      </c>
      <c r="BD162">
        <v>376.26400000000001</v>
      </c>
      <c r="BH162">
        <v>70.597999999999999</v>
      </c>
      <c r="BI162">
        <v>1.5</v>
      </c>
      <c r="BJ162">
        <v>72.7</v>
      </c>
      <c r="BK162">
        <v>0.56699999999999995</v>
      </c>
      <c r="BL162">
        <v>22125242</v>
      </c>
    </row>
    <row r="163" spans="1:64" x14ac:dyDescent="0.3">
      <c r="A163" t="s">
        <v>141</v>
      </c>
      <c r="B163" t="s">
        <v>71</v>
      </c>
      <c r="C163" t="s">
        <v>142</v>
      </c>
      <c r="D163" s="1">
        <v>45508</v>
      </c>
      <c r="E163">
        <v>54569</v>
      </c>
      <c r="F163">
        <v>0</v>
      </c>
      <c r="G163">
        <v>0</v>
      </c>
      <c r="H163">
        <v>15</v>
      </c>
      <c r="I163">
        <v>0</v>
      </c>
      <c r="J163">
        <v>0</v>
      </c>
      <c r="K163">
        <f t="shared" si="2"/>
        <v>2.0826345034783493</v>
      </c>
      <c r="L163">
        <v>4096.433</v>
      </c>
      <c r="M163">
        <v>0</v>
      </c>
      <c r="N163">
        <v>0</v>
      </c>
      <c r="O163">
        <v>1.1259999999999999</v>
      </c>
      <c r="P163">
        <v>0</v>
      </c>
      <c r="Q163">
        <v>0</v>
      </c>
      <c r="AX163">
        <v>423.06200000000001</v>
      </c>
      <c r="AY163">
        <v>17.5</v>
      </c>
      <c r="AZ163">
        <v>2.5619999999999998</v>
      </c>
      <c r="BA163">
        <v>1.504</v>
      </c>
      <c r="BB163">
        <v>702.22500000000002</v>
      </c>
      <c r="BC163">
        <v>71.7</v>
      </c>
      <c r="BD163">
        <v>293.06799999999998</v>
      </c>
      <c r="BE163">
        <v>6.05</v>
      </c>
      <c r="BH163">
        <v>6.1440000000000001</v>
      </c>
      <c r="BI163">
        <v>0.8</v>
      </c>
      <c r="BJ163">
        <v>61.58</v>
      </c>
      <c r="BK163">
        <v>0.433</v>
      </c>
      <c r="BL163">
        <v>12889583</v>
      </c>
    </row>
    <row r="164" spans="1:64" x14ac:dyDescent="0.3">
      <c r="A164" t="s">
        <v>248</v>
      </c>
      <c r="B164" t="s">
        <v>78</v>
      </c>
      <c r="C164" t="s">
        <v>249</v>
      </c>
      <c r="D164" s="1">
        <v>45508</v>
      </c>
      <c r="E164">
        <v>52287</v>
      </c>
      <c r="F164">
        <v>0</v>
      </c>
      <c r="G164">
        <v>0</v>
      </c>
      <c r="H164">
        <v>419</v>
      </c>
      <c r="I164">
        <v>0</v>
      </c>
      <c r="J164">
        <v>0</v>
      </c>
      <c r="K164">
        <f t="shared" si="2"/>
        <v>0.24250274886656326</v>
      </c>
      <c r="L164">
        <v>316520.7</v>
      </c>
      <c r="M164">
        <v>0</v>
      </c>
      <c r="N164">
        <v>0</v>
      </c>
      <c r="O164">
        <v>2536.4270000000001</v>
      </c>
      <c r="P164">
        <v>0</v>
      </c>
      <c r="Q164">
        <v>0</v>
      </c>
      <c r="AX164">
        <v>304.12799999999999</v>
      </c>
      <c r="AY164">
        <v>31.4</v>
      </c>
      <c r="AZ164">
        <v>9.5510000000000002</v>
      </c>
      <c r="BA164">
        <v>5.4930000000000003</v>
      </c>
      <c r="BD164">
        <v>310.49599999999998</v>
      </c>
      <c r="BE164">
        <v>21.52</v>
      </c>
      <c r="BJ164">
        <v>80.069999999999993</v>
      </c>
      <c r="BL164">
        <v>171783</v>
      </c>
    </row>
    <row r="165" spans="1:64" x14ac:dyDescent="0.3">
      <c r="A165" t="s">
        <v>464</v>
      </c>
      <c r="B165" t="s">
        <v>71</v>
      </c>
      <c r="C165" t="s">
        <v>465</v>
      </c>
      <c r="D165" s="1">
        <v>45508</v>
      </c>
      <c r="E165">
        <v>51886</v>
      </c>
      <c r="F165">
        <v>0</v>
      </c>
      <c r="G165">
        <v>0</v>
      </c>
      <c r="H165">
        <v>172</v>
      </c>
      <c r="I165">
        <v>0</v>
      </c>
      <c r="J165">
        <v>0</v>
      </c>
      <c r="K165">
        <f t="shared" si="2"/>
        <v>0.64677234233954772</v>
      </c>
      <c r="L165">
        <v>413328.88</v>
      </c>
      <c r="M165">
        <v>0</v>
      </c>
      <c r="N165">
        <v>0</v>
      </c>
      <c r="O165">
        <v>1370.1690000000001</v>
      </c>
      <c r="P165">
        <v>0</v>
      </c>
      <c r="Q165">
        <v>0</v>
      </c>
      <c r="AX165">
        <v>208.35400000000001</v>
      </c>
      <c r="AY165">
        <v>36.200000000000003</v>
      </c>
      <c r="AZ165">
        <v>8.6059999999999999</v>
      </c>
      <c r="BA165">
        <v>5.5860000000000003</v>
      </c>
      <c r="BB165">
        <v>26382.287</v>
      </c>
      <c r="BC165">
        <v>1.1000000000000001</v>
      </c>
      <c r="BD165">
        <v>242.648</v>
      </c>
      <c r="BE165">
        <v>10.55</v>
      </c>
      <c r="BF165">
        <v>7.1</v>
      </c>
      <c r="BG165">
        <v>35.700000000000003</v>
      </c>
      <c r="BI165">
        <v>3.6</v>
      </c>
      <c r="BJ165">
        <v>73.400000000000006</v>
      </c>
      <c r="BK165">
        <v>0.79600000000000004</v>
      </c>
      <c r="BL165">
        <v>107135</v>
      </c>
    </row>
    <row r="166" spans="1:64" x14ac:dyDescent="0.3">
      <c r="A166" t="s">
        <v>228</v>
      </c>
      <c r="B166" t="s">
        <v>71</v>
      </c>
      <c r="C166" t="s">
        <v>229</v>
      </c>
      <c r="D166" s="1">
        <v>45508</v>
      </c>
      <c r="E166">
        <v>49051</v>
      </c>
      <c r="F166">
        <v>0</v>
      </c>
      <c r="G166">
        <v>0</v>
      </c>
      <c r="H166">
        <v>307</v>
      </c>
      <c r="I166">
        <v>0</v>
      </c>
      <c r="J166">
        <v>0</v>
      </c>
      <c r="K166">
        <f t="shared" si="2"/>
        <v>7.8852374478458582</v>
      </c>
      <c r="L166">
        <v>20179.351999999999</v>
      </c>
      <c r="M166">
        <v>0</v>
      </c>
      <c r="N166">
        <v>0</v>
      </c>
      <c r="O166">
        <v>126.298</v>
      </c>
      <c r="P166">
        <v>0</v>
      </c>
      <c r="Q166">
        <v>0</v>
      </c>
      <c r="AX166">
        <v>7.859</v>
      </c>
      <c r="AY166">
        <v>23.1</v>
      </c>
      <c r="AZ166">
        <v>4.45</v>
      </c>
      <c r="BA166">
        <v>2.976</v>
      </c>
      <c r="BB166">
        <v>16562.413</v>
      </c>
      <c r="BC166">
        <v>3.4</v>
      </c>
      <c r="BD166">
        <v>259.96699999999998</v>
      </c>
      <c r="BE166">
        <v>7.2</v>
      </c>
      <c r="BI166">
        <v>6.3</v>
      </c>
      <c r="BJ166">
        <v>66.47</v>
      </c>
      <c r="BK166">
        <v>0.70299999999999996</v>
      </c>
      <c r="BL166">
        <v>2388997</v>
      </c>
    </row>
    <row r="167" spans="1:64" x14ac:dyDescent="0.3">
      <c r="A167" t="s">
        <v>80</v>
      </c>
      <c r="B167" t="s">
        <v>73</v>
      </c>
      <c r="C167" t="s">
        <v>81</v>
      </c>
      <c r="D167" s="1">
        <v>45508</v>
      </c>
      <c r="E167">
        <v>48015</v>
      </c>
      <c r="F167">
        <v>0</v>
      </c>
      <c r="G167">
        <v>0</v>
      </c>
      <c r="H167">
        <v>159</v>
      </c>
      <c r="I167">
        <v>0</v>
      </c>
      <c r="J167">
        <v>0</v>
      </c>
      <c r="K167">
        <f t="shared" si="2"/>
        <v>1.560934368737475</v>
      </c>
      <c r="L167">
        <v>602280.43999999994</v>
      </c>
      <c r="M167">
        <v>0</v>
      </c>
      <c r="N167">
        <v>0</v>
      </c>
      <c r="O167">
        <v>1994.431</v>
      </c>
      <c r="P167">
        <v>0</v>
      </c>
      <c r="Q167">
        <v>0</v>
      </c>
      <c r="AX167">
        <v>163.755</v>
      </c>
      <c r="BD167">
        <v>109.13500000000001</v>
      </c>
      <c r="BE167">
        <v>7.97</v>
      </c>
      <c r="BF167">
        <v>29</v>
      </c>
      <c r="BG167">
        <v>37.799999999999997</v>
      </c>
      <c r="BJ167">
        <v>83.73</v>
      </c>
      <c r="BK167">
        <v>0.86799999999999999</v>
      </c>
      <c r="BL167">
        <v>79843</v>
      </c>
    </row>
    <row r="168" spans="1:64" x14ac:dyDescent="0.3">
      <c r="A168" t="s">
        <v>412</v>
      </c>
      <c r="B168" t="s">
        <v>78</v>
      </c>
      <c r="C168" t="s">
        <v>413</v>
      </c>
      <c r="D168" s="1">
        <v>45508</v>
      </c>
      <c r="E168">
        <v>46864</v>
      </c>
      <c r="F168">
        <v>0</v>
      </c>
      <c r="G168">
        <v>0</v>
      </c>
      <c r="H168">
        <v>670</v>
      </c>
      <c r="I168">
        <v>0</v>
      </c>
      <c r="J168">
        <v>0</v>
      </c>
      <c r="K168">
        <f t="shared" si="2"/>
        <v>3.3494425570601463E-2</v>
      </c>
      <c r="L168">
        <v>4593.08</v>
      </c>
      <c r="M168">
        <v>0</v>
      </c>
      <c r="N168">
        <v>0</v>
      </c>
      <c r="O168">
        <v>65.665999999999997</v>
      </c>
      <c r="P168">
        <v>0</v>
      </c>
      <c r="Q168">
        <v>0</v>
      </c>
      <c r="AX168">
        <v>18.22</v>
      </c>
      <c r="AY168">
        <v>22.6</v>
      </c>
      <c r="AZ168">
        <v>3.8079999999999998</v>
      </c>
      <c r="BA168">
        <v>2.1419999999999999</v>
      </c>
      <c r="BB168">
        <v>3823.194</v>
      </c>
      <c r="BD168">
        <v>561.49400000000003</v>
      </c>
      <c r="BE168">
        <v>17.649999999999999</v>
      </c>
      <c r="BF168">
        <v>23.5</v>
      </c>
      <c r="BG168">
        <v>48.8</v>
      </c>
      <c r="BJ168">
        <v>64.5</v>
      </c>
      <c r="BK168">
        <v>0.55500000000000005</v>
      </c>
      <c r="BL168">
        <v>10142625</v>
      </c>
    </row>
    <row r="169" spans="1:64" x14ac:dyDescent="0.3">
      <c r="A169" t="s">
        <v>177</v>
      </c>
      <c r="B169" t="s">
        <v>85</v>
      </c>
      <c r="C169" t="s">
        <v>178</v>
      </c>
      <c r="D169" s="1">
        <v>45508</v>
      </c>
      <c r="E169">
        <v>45883</v>
      </c>
      <c r="F169">
        <v>0</v>
      </c>
      <c r="G169">
        <v>0</v>
      </c>
      <c r="H169">
        <v>305</v>
      </c>
      <c r="I169">
        <v>0</v>
      </c>
      <c r="J169">
        <v>0</v>
      </c>
      <c r="K169">
        <f t="shared" si="2"/>
        <v>5.5082458248437032</v>
      </c>
      <c r="L169">
        <v>247546.55</v>
      </c>
      <c r="M169">
        <v>0</v>
      </c>
      <c r="N169">
        <v>0</v>
      </c>
      <c r="O169">
        <v>1645.527</v>
      </c>
      <c r="P169">
        <v>0</v>
      </c>
      <c r="Q169">
        <v>0</v>
      </c>
      <c r="AX169">
        <v>362.64400000000001</v>
      </c>
      <c r="AY169">
        <v>41.7</v>
      </c>
      <c r="AZ169">
        <v>16.367000000000001</v>
      </c>
      <c r="BA169">
        <v>10.068</v>
      </c>
      <c r="BE169">
        <v>11.62</v>
      </c>
      <c r="BJ169">
        <v>78.88</v>
      </c>
      <c r="BL169">
        <v>191173</v>
      </c>
    </row>
    <row r="170" spans="1:64" x14ac:dyDescent="0.3">
      <c r="A170" t="s">
        <v>94</v>
      </c>
      <c r="B170" t="s">
        <v>85</v>
      </c>
      <c r="C170" t="s">
        <v>95</v>
      </c>
      <c r="D170" s="1">
        <v>45508</v>
      </c>
      <c r="E170">
        <v>44224</v>
      </c>
      <c r="F170">
        <v>0</v>
      </c>
      <c r="G170">
        <v>0</v>
      </c>
      <c r="H170">
        <v>292</v>
      </c>
      <c r="I170">
        <v>0</v>
      </c>
      <c r="J170">
        <v>0</v>
      </c>
      <c r="K170">
        <f t="shared" si="2"/>
        <v>2.7488134288698712E-2</v>
      </c>
      <c r="L170">
        <v>410271.62</v>
      </c>
      <c r="M170">
        <v>0</v>
      </c>
      <c r="N170">
        <v>0</v>
      </c>
      <c r="O170">
        <v>2708.9209999999998</v>
      </c>
      <c r="P170">
        <v>0</v>
      </c>
      <c r="Q170">
        <v>0</v>
      </c>
      <c r="AX170">
        <v>584.79999999999995</v>
      </c>
      <c r="AY170">
        <v>41.2</v>
      </c>
      <c r="AZ170">
        <v>13.085000000000001</v>
      </c>
      <c r="BA170">
        <v>7.452</v>
      </c>
      <c r="BB170">
        <v>35973.781000000003</v>
      </c>
      <c r="BE170">
        <v>11.62</v>
      </c>
      <c r="BJ170">
        <v>76.290000000000006</v>
      </c>
      <c r="BL170">
        <v>106459</v>
      </c>
    </row>
    <row r="171" spans="1:64" x14ac:dyDescent="0.3">
      <c r="A171" t="s">
        <v>503</v>
      </c>
      <c r="B171" t="s">
        <v>71</v>
      </c>
      <c r="C171" t="s">
        <v>504</v>
      </c>
      <c r="D171" s="1">
        <v>45508</v>
      </c>
      <c r="E171">
        <v>43230</v>
      </c>
      <c r="F171">
        <v>0</v>
      </c>
      <c r="G171">
        <v>0</v>
      </c>
      <c r="H171">
        <v>846</v>
      </c>
      <c r="I171">
        <v>0</v>
      </c>
      <c r="J171">
        <v>0</v>
      </c>
      <c r="K171">
        <f t="shared" si="2"/>
        <v>0.80134641497886672</v>
      </c>
      <c r="L171">
        <v>668.03899999999999</v>
      </c>
      <c r="M171">
        <v>0</v>
      </c>
      <c r="N171">
        <v>0</v>
      </c>
      <c r="O171">
        <v>13.073</v>
      </c>
      <c r="P171">
        <v>0</v>
      </c>
      <c r="Q171">
        <v>0</v>
      </c>
      <c r="AX171">
        <v>64.698999999999998</v>
      </c>
      <c r="AY171">
        <v>17.7</v>
      </c>
      <c r="AZ171">
        <v>3.1080000000000001</v>
      </c>
      <c r="BA171">
        <v>1.8740000000000001</v>
      </c>
      <c r="BB171">
        <v>2683.3040000000001</v>
      </c>
      <c r="BC171">
        <v>49.1</v>
      </c>
      <c r="BD171">
        <v>217.28800000000001</v>
      </c>
      <c r="BE171">
        <v>5.75</v>
      </c>
      <c r="BF171">
        <v>3.3</v>
      </c>
      <c r="BG171">
        <v>26.7</v>
      </c>
      <c r="BH171">
        <v>47.953000000000003</v>
      </c>
      <c r="BI171">
        <v>0.7</v>
      </c>
      <c r="BJ171">
        <v>65.459999999999994</v>
      </c>
      <c r="BK171">
        <v>0.52900000000000003</v>
      </c>
      <c r="BL171">
        <v>65497752</v>
      </c>
    </row>
    <row r="172" spans="1:64" x14ac:dyDescent="0.3">
      <c r="A172" t="s">
        <v>350</v>
      </c>
      <c r="B172" t="s">
        <v>71</v>
      </c>
      <c r="C172" t="s">
        <v>351</v>
      </c>
      <c r="D172" s="1">
        <v>45508</v>
      </c>
      <c r="E172">
        <v>42027</v>
      </c>
      <c r="F172">
        <v>0</v>
      </c>
      <c r="G172">
        <v>0</v>
      </c>
      <c r="H172">
        <v>187</v>
      </c>
      <c r="I172">
        <v>0</v>
      </c>
      <c r="J172">
        <v>0</v>
      </c>
      <c r="K172">
        <f t="shared" si="2"/>
        <v>0.33149597193848052</v>
      </c>
      <c r="L172">
        <v>137667.97</v>
      </c>
      <c r="M172">
        <v>0</v>
      </c>
      <c r="N172">
        <v>0</v>
      </c>
      <c r="O172">
        <v>612.55600000000004</v>
      </c>
      <c r="P172">
        <v>0</v>
      </c>
      <c r="Q172">
        <v>0</v>
      </c>
      <c r="AY172">
        <v>20.100000000000001</v>
      </c>
      <c r="BA172">
        <v>2.411</v>
      </c>
      <c r="BJ172">
        <v>79.459999999999994</v>
      </c>
      <c r="BL172">
        <v>326113</v>
      </c>
    </row>
    <row r="173" spans="1:64" x14ac:dyDescent="0.3">
      <c r="A173" t="s">
        <v>507</v>
      </c>
      <c r="B173" t="s">
        <v>71</v>
      </c>
      <c r="C173" t="s">
        <v>508</v>
      </c>
      <c r="D173" s="1">
        <v>45508</v>
      </c>
      <c r="E173">
        <v>39530</v>
      </c>
      <c r="F173">
        <v>0</v>
      </c>
      <c r="G173">
        <v>0</v>
      </c>
      <c r="H173">
        <v>290</v>
      </c>
      <c r="I173">
        <v>0</v>
      </c>
      <c r="J173">
        <v>0</v>
      </c>
      <c r="K173">
        <f t="shared" si="2"/>
        <v>0.62587918696866529</v>
      </c>
      <c r="L173">
        <v>4348.8580000000002</v>
      </c>
      <c r="M173">
        <v>0</v>
      </c>
      <c r="N173">
        <v>0</v>
      </c>
      <c r="O173">
        <v>31.904</v>
      </c>
      <c r="P173">
        <v>0</v>
      </c>
      <c r="Q173">
        <v>0</v>
      </c>
      <c r="AX173">
        <v>143.36600000000001</v>
      </c>
      <c r="AY173">
        <v>19.399999999999999</v>
      </c>
      <c r="AZ173">
        <v>2.839</v>
      </c>
      <c r="BA173">
        <v>1.5249999999999999</v>
      </c>
      <c r="BB173">
        <v>1429.8130000000001</v>
      </c>
      <c r="BC173">
        <v>49.2</v>
      </c>
      <c r="BD173">
        <v>280.03300000000002</v>
      </c>
      <c r="BE173">
        <v>6.15</v>
      </c>
      <c r="BF173">
        <v>0.9</v>
      </c>
      <c r="BG173">
        <v>14.2</v>
      </c>
      <c r="BH173">
        <v>10.475</v>
      </c>
      <c r="BI173">
        <v>0.7</v>
      </c>
      <c r="BJ173">
        <v>61.04</v>
      </c>
      <c r="BK173">
        <v>0.51500000000000001</v>
      </c>
      <c r="BL173">
        <v>8848700</v>
      </c>
    </row>
    <row r="174" spans="1:64" x14ac:dyDescent="0.3">
      <c r="A174" t="s">
        <v>103</v>
      </c>
      <c r="B174" t="s">
        <v>85</v>
      </c>
      <c r="C174" t="s">
        <v>104</v>
      </c>
      <c r="D174" s="1">
        <v>45508</v>
      </c>
      <c r="E174">
        <v>39127</v>
      </c>
      <c r="F174">
        <v>0</v>
      </c>
      <c r="G174">
        <v>0</v>
      </c>
      <c r="H174">
        <v>849</v>
      </c>
      <c r="I174">
        <v>0</v>
      </c>
      <c r="J174">
        <v>0</v>
      </c>
      <c r="K174">
        <f t="shared" si="2"/>
        <v>0.33114651671352702</v>
      </c>
      <c r="L174">
        <v>98421.81</v>
      </c>
      <c r="M174">
        <v>0</v>
      </c>
      <c r="N174">
        <v>0</v>
      </c>
      <c r="O174">
        <v>2135.6120000000001</v>
      </c>
      <c r="P174">
        <v>0</v>
      </c>
      <c r="Q174">
        <v>0</v>
      </c>
      <c r="AX174">
        <v>39.497</v>
      </c>
      <c r="AY174">
        <v>34.299999999999997</v>
      </c>
      <c r="AZ174">
        <v>8.9960000000000004</v>
      </c>
      <c r="BA174">
        <v>5.2</v>
      </c>
      <c r="BB174">
        <v>27717.847000000002</v>
      </c>
      <c r="BD174">
        <v>235.95400000000001</v>
      </c>
      <c r="BE174">
        <v>13.17</v>
      </c>
      <c r="BF174">
        <v>3.1</v>
      </c>
      <c r="BG174">
        <v>20.399999999999999</v>
      </c>
      <c r="BI174">
        <v>2.9</v>
      </c>
      <c r="BJ174">
        <v>73.92</v>
      </c>
      <c r="BK174">
        <v>0.81399999999999995</v>
      </c>
      <c r="BL174">
        <v>409989</v>
      </c>
    </row>
    <row r="175" spans="1:64" x14ac:dyDescent="0.3">
      <c r="A175" t="s">
        <v>254</v>
      </c>
      <c r="B175" t="s">
        <v>71</v>
      </c>
      <c r="C175" t="s">
        <v>255</v>
      </c>
      <c r="D175" s="1">
        <v>45508</v>
      </c>
      <c r="E175">
        <v>38572</v>
      </c>
      <c r="F175">
        <v>0</v>
      </c>
      <c r="G175">
        <v>0</v>
      </c>
      <c r="H175">
        <v>468</v>
      </c>
      <c r="I175">
        <v>0</v>
      </c>
      <c r="J175">
        <v>0</v>
      </c>
      <c r="K175">
        <f t="shared" si="2"/>
        <v>1.4296688289518606</v>
      </c>
      <c r="L175">
        <v>2744.335</v>
      </c>
      <c r="M175">
        <v>0</v>
      </c>
      <c r="N175">
        <v>0</v>
      </c>
      <c r="O175">
        <v>33.296999999999997</v>
      </c>
      <c r="P175">
        <v>0</v>
      </c>
      <c r="Q175">
        <v>0</v>
      </c>
      <c r="AX175">
        <v>51.755000000000003</v>
      </c>
      <c r="AY175">
        <v>19</v>
      </c>
      <c r="AZ175">
        <v>3.1349999999999998</v>
      </c>
      <c r="BA175">
        <v>1.7330000000000001</v>
      </c>
      <c r="BB175">
        <v>1998.9259999999999</v>
      </c>
      <c r="BC175">
        <v>35.299999999999997</v>
      </c>
      <c r="BD175">
        <v>336.71699999999998</v>
      </c>
      <c r="BE175">
        <v>2.42</v>
      </c>
      <c r="BH175">
        <v>17.45</v>
      </c>
      <c r="BI175">
        <v>0.3</v>
      </c>
      <c r="BJ175">
        <v>61.6</v>
      </c>
      <c r="BK175">
        <v>0.47699999999999998</v>
      </c>
      <c r="BL175">
        <v>13859349</v>
      </c>
    </row>
    <row r="176" spans="1:64" x14ac:dyDescent="0.3">
      <c r="A176" t="s">
        <v>282</v>
      </c>
      <c r="B176" t="s">
        <v>73</v>
      </c>
      <c r="C176" t="s">
        <v>283</v>
      </c>
      <c r="D176" s="1">
        <v>45508</v>
      </c>
      <c r="E176">
        <v>38008</v>
      </c>
      <c r="F176">
        <v>0</v>
      </c>
      <c r="G176">
        <v>0</v>
      </c>
      <c r="H176">
        <v>116</v>
      </c>
      <c r="I176">
        <v>0</v>
      </c>
      <c r="J176">
        <v>0</v>
      </c>
      <c r="K176">
        <f t="shared" si="2"/>
        <v>0.66473421528670751</v>
      </c>
      <c r="L176">
        <v>451701.84</v>
      </c>
      <c r="M176">
        <v>0</v>
      </c>
      <c r="N176">
        <v>0</v>
      </c>
      <c r="O176">
        <v>1378.5889999999999</v>
      </c>
      <c r="P176">
        <v>0</v>
      </c>
      <c r="Q176">
        <v>0</v>
      </c>
      <c r="AX176">
        <v>147.87200000000001</v>
      </c>
      <c r="BJ176">
        <v>81.400000000000006</v>
      </c>
      <c r="BL176">
        <v>84534</v>
      </c>
    </row>
    <row r="177" spans="1:64" x14ac:dyDescent="0.3">
      <c r="A177" t="s">
        <v>314</v>
      </c>
      <c r="B177" t="s">
        <v>71</v>
      </c>
      <c r="C177" t="s">
        <v>315</v>
      </c>
      <c r="D177" s="1">
        <v>45508</v>
      </c>
      <c r="E177">
        <v>36138</v>
      </c>
      <c r="F177">
        <v>0</v>
      </c>
      <c r="G177">
        <v>0</v>
      </c>
      <c r="H177">
        <v>709</v>
      </c>
      <c r="I177">
        <v>0</v>
      </c>
      <c r="J177">
        <v>0</v>
      </c>
      <c r="K177">
        <f t="shared" si="2"/>
        <v>0.66027496382054995</v>
      </c>
      <c r="L177">
        <v>15807.624</v>
      </c>
      <c r="M177">
        <v>0</v>
      </c>
      <c r="N177">
        <v>0</v>
      </c>
      <c r="O177">
        <v>310.13400000000001</v>
      </c>
      <c r="P177">
        <v>0</v>
      </c>
      <c r="Q177">
        <v>0</v>
      </c>
      <c r="AX177">
        <v>73.561999999999998</v>
      </c>
      <c r="AY177">
        <v>22.2</v>
      </c>
      <c r="AZ177">
        <v>4.5060000000000002</v>
      </c>
      <c r="BA177">
        <v>2.6469999999999998</v>
      </c>
      <c r="BB177">
        <v>2851.1529999999998</v>
      </c>
      <c r="BC177">
        <v>59.6</v>
      </c>
      <c r="BD177">
        <v>405.12599999999998</v>
      </c>
      <c r="BE177">
        <v>3.94</v>
      </c>
      <c r="BF177">
        <v>0.4</v>
      </c>
      <c r="BG177">
        <v>53.9</v>
      </c>
      <c r="BH177">
        <v>2.117</v>
      </c>
      <c r="BJ177">
        <v>54.33</v>
      </c>
      <c r="BK177">
        <v>0.52700000000000002</v>
      </c>
      <c r="BL177">
        <v>2305826</v>
      </c>
    </row>
    <row r="178" spans="1:64" x14ac:dyDescent="0.3">
      <c r="A178" t="s">
        <v>252</v>
      </c>
      <c r="B178" t="s">
        <v>73</v>
      </c>
      <c r="C178" t="s">
        <v>253</v>
      </c>
      <c r="D178" s="1">
        <v>45508</v>
      </c>
      <c r="E178">
        <v>35326</v>
      </c>
      <c r="F178">
        <v>0</v>
      </c>
      <c r="G178">
        <v>0</v>
      </c>
      <c r="H178">
        <v>67</v>
      </c>
      <c r="I178">
        <v>0</v>
      </c>
      <c r="J178">
        <v>0</v>
      </c>
      <c r="K178">
        <f t="shared" si="2"/>
        <v>1.9569743233865373</v>
      </c>
      <c r="L178">
        <v>554150.6</v>
      </c>
      <c r="M178">
        <v>0</v>
      </c>
      <c r="N178">
        <v>0</v>
      </c>
      <c r="O178">
        <v>1051.0129999999999</v>
      </c>
      <c r="P178">
        <v>0</v>
      </c>
      <c r="Q178">
        <v>0</v>
      </c>
      <c r="BL178">
        <v>63329</v>
      </c>
    </row>
    <row r="179" spans="1:64" x14ac:dyDescent="0.3">
      <c r="A179" t="s">
        <v>216</v>
      </c>
      <c r="B179" t="s">
        <v>73</v>
      </c>
      <c r="C179" t="s">
        <v>217</v>
      </c>
      <c r="D179" s="1">
        <v>45508</v>
      </c>
      <c r="E179">
        <v>34658</v>
      </c>
      <c r="F179">
        <v>0</v>
      </c>
      <c r="G179">
        <v>0</v>
      </c>
      <c r="H179">
        <v>28</v>
      </c>
      <c r="I179">
        <v>0</v>
      </c>
      <c r="J179">
        <v>0</v>
      </c>
      <c r="K179">
        <f t="shared" si="2"/>
        <v>0.44495205463154636</v>
      </c>
      <c r="L179">
        <v>641351.6</v>
      </c>
      <c r="M179">
        <v>0</v>
      </c>
      <c r="N179">
        <v>0</v>
      </c>
      <c r="O179">
        <v>518.14400000000001</v>
      </c>
      <c r="P179">
        <v>0</v>
      </c>
      <c r="Q179">
        <v>0</v>
      </c>
      <c r="AX179">
        <v>35.308</v>
      </c>
      <c r="BJ179">
        <v>80.67</v>
      </c>
      <c r="BL179">
        <v>53117</v>
      </c>
    </row>
    <row r="180" spans="1:64" x14ac:dyDescent="0.3">
      <c r="A180" t="s">
        <v>260</v>
      </c>
      <c r="B180" t="s">
        <v>85</v>
      </c>
      <c r="C180" t="s">
        <v>261</v>
      </c>
      <c r="D180" s="1">
        <v>45508</v>
      </c>
      <c r="E180">
        <v>34456</v>
      </c>
      <c r="F180">
        <v>0</v>
      </c>
      <c r="G180">
        <v>0</v>
      </c>
      <c r="H180">
        <v>860</v>
      </c>
      <c r="I180">
        <v>0</v>
      </c>
      <c r="J180">
        <v>0</v>
      </c>
      <c r="K180">
        <f t="shared" si="2"/>
        <v>0.73362003541613963</v>
      </c>
      <c r="L180">
        <v>2995.2350000000001</v>
      </c>
      <c r="M180">
        <v>0</v>
      </c>
      <c r="N180">
        <v>0</v>
      </c>
      <c r="O180">
        <v>74.759</v>
      </c>
      <c r="P180">
        <v>0</v>
      </c>
      <c r="Q180">
        <v>0</v>
      </c>
      <c r="AX180">
        <v>398.44799999999998</v>
      </c>
      <c r="AY180">
        <v>24.3</v>
      </c>
      <c r="AZ180">
        <v>4.8</v>
      </c>
      <c r="BA180">
        <v>2.9540000000000002</v>
      </c>
      <c r="BB180">
        <v>1653.173</v>
      </c>
      <c r="BC180">
        <v>23.5</v>
      </c>
      <c r="BD180">
        <v>430.548</v>
      </c>
      <c r="BE180">
        <v>6.65</v>
      </c>
      <c r="BF180">
        <v>2.9</v>
      </c>
      <c r="BG180">
        <v>23.1</v>
      </c>
      <c r="BH180">
        <v>22.863</v>
      </c>
      <c r="BI180">
        <v>0.7</v>
      </c>
      <c r="BJ180">
        <v>64</v>
      </c>
      <c r="BK180">
        <v>0.51</v>
      </c>
      <c r="BL180">
        <v>11585003</v>
      </c>
    </row>
    <row r="181" spans="1:64" x14ac:dyDescent="0.3">
      <c r="A181" t="s">
        <v>338</v>
      </c>
      <c r="B181" t="s">
        <v>71</v>
      </c>
      <c r="C181" t="s">
        <v>339</v>
      </c>
      <c r="D181" s="1">
        <v>45508</v>
      </c>
      <c r="E181">
        <v>33166</v>
      </c>
      <c r="F181">
        <v>0</v>
      </c>
      <c r="G181">
        <v>0</v>
      </c>
      <c r="H181">
        <v>743</v>
      </c>
      <c r="I181">
        <v>0</v>
      </c>
      <c r="J181">
        <v>0</v>
      </c>
      <c r="K181">
        <f t="shared" si="2"/>
        <v>2.1698571319038003</v>
      </c>
      <c r="L181">
        <v>1437.46</v>
      </c>
      <c r="M181">
        <v>0</v>
      </c>
      <c r="N181">
        <v>0</v>
      </c>
      <c r="O181">
        <v>32.203000000000003</v>
      </c>
      <c r="P181">
        <v>0</v>
      </c>
      <c r="Q181">
        <v>0</v>
      </c>
      <c r="AX181">
        <v>15.196</v>
      </c>
      <c r="AY181">
        <v>16.399999999999999</v>
      </c>
      <c r="AZ181">
        <v>2.5190000000000001</v>
      </c>
      <c r="BA181">
        <v>1.486</v>
      </c>
      <c r="BB181">
        <v>2014.306</v>
      </c>
      <c r="BD181">
        <v>268.024</v>
      </c>
      <c r="BE181">
        <v>2.42</v>
      </c>
      <c r="BF181">
        <v>1.6</v>
      </c>
      <c r="BG181">
        <v>23</v>
      </c>
      <c r="BH181">
        <v>52.231999999999999</v>
      </c>
      <c r="BI181">
        <v>0.1</v>
      </c>
      <c r="BJ181">
        <v>59.31</v>
      </c>
      <c r="BK181">
        <v>0.434</v>
      </c>
      <c r="BL181">
        <v>22593598</v>
      </c>
    </row>
    <row r="182" spans="1:64" x14ac:dyDescent="0.3">
      <c r="A182" t="s">
        <v>354</v>
      </c>
      <c r="B182" t="s">
        <v>78</v>
      </c>
      <c r="C182" t="s">
        <v>355</v>
      </c>
      <c r="D182" s="1">
        <v>45508</v>
      </c>
      <c r="E182">
        <v>31765</v>
      </c>
      <c r="F182">
        <v>0</v>
      </c>
      <c r="G182">
        <v>0</v>
      </c>
      <c r="H182">
        <v>65</v>
      </c>
      <c r="I182">
        <v>0</v>
      </c>
      <c r="J182">
        <v>0</v>
      </c>
      <c r="K182">
        <f t="shared" si="2"/>
        <v>1.2133153582909884</v>
      </c>
      <c r="L182">
        <v>283302.40000000002</v>
      </c>
      <c r="M182">
        <v>0</v>
      </c>
      <c r="N182">
        <v>0</v>
      </c>
      <c r="O182">
        <v>579.71500000000003</v>
      </c>
      <c r="P182">
        <v>0</v>
      </c>
      <c r="Q182">
        <v>0</v>
      </c>
      <c r="AX182">
        <v>150.77699999999999</v>
      </c>
      <c r="AY182">
        <v>23</v>
      </c>
      <c r="AZ182">
        <v>4.8099999999999996</v>
      </c>
      <c r="BA182">
        <v>2.3919999999999999</v>
      </c>
      <c r="BB182">
        <v>3299.4639999999999</v>
      </c>
      <c r="BC182">
        <v>16</v>
      </c>
      <c r="BD182">
        <v>454.34300000000002</v>
      </c>
      <c r="BE182">
        <v>12.02</v>
      </c>
      <c r="BJ182">
        <v>67.88</v>
      </c>
      <c r="BK182">
        <v>0.62</v>
      </c>
      <c r="BL182">
        <v>114178</v>
      </c>
    </row>
    <row r="183" spans="1:64" x14ac:dyDescent="0.3">
      <c r="A183" t="s">
        <v>151</v>
      </c>
      <c r="B183" t="s">
        <v>85</v>
      </c>
      <c r="C183" t="s">
        <v>152</v>
      </c>
      <c r="D183" s="1">
        <v>45508</v>
      </c>
      <c r="E183">
        <v>31472</v>
      </c>
      <c r="F183">
        <v>0</v>
      </c>
      <c r="G183">
        <v>0</v>
      </c>
      <c r="H183">
        <v>37</v>
      </c>
      <c r="I183">
        <v>0</v>
      </c>
      <c r="J183">
        <v>0</v>
      </c>
      <c r="K183">
        <f t="shared" si="2"/>
        <v>0.30519890549358031</v>
      </c>
      <c r="L183">
        <v>439497.84</v>
      </c>
      <c r="M183">
        <v>0</v>
      </c>
      <c r="N183">
        <v>0</v>
      </c>
      <c r="O183">
        <v>516.69500000000005</v>
      </c>
      <c r="P183">
        <v>0</v>
      </c>
      <c r="Q183">
        <v>0</v>
      </c>
      <c r="AX183">
        <v>256.49599999999998</v>
      </c>
      <c r="BB183">
        <v>49903.029000000002</v>
      </c>
      <c r="BE183">
        <v>13.22</v>
      </c>
      <c r="BJ183">
        <v>83.92</v>
      </c>
      <c r="BL183">
        <v>68722</v>
      </c>
    </row>
    <row r="184" spans="1:64" x14ac:dyDescent="0.3">
      <c r="A184" t="s">
        <v>444</v>
      </c>
      <c r="B184" t="s">
        <v>85</v>
      </c>
      <c r="C184" t="s">
        <v>445</v>
      </c>
      <c r="D184" s="1">
        <v>45508</v>
      </c>
      <c r="E184">
        <v>30282</v>
      </c>
      <c r="F184">
        <v>0</v>
      </c>
      <c r="G184">
        <v>0</v>
      </c>
      <c r="H184">
        <v>410</v>
      </c>
      <c r="I184">
        <v>0</v>
      </c>
      <c r="J184">
        <v>0</v>
      </c>
      <c r="K184">
        <f t="shared" si="2"/>
        <v>1.9619237367867619</v>
      </c>
      <c r="L184">
        <v>169368.1</v>
      </c>
      <c r="M184">
        <v>0</v>
      </c>
      <c r="N184">
        <v>0</v>
      </c>
      <c r="O184">
        <v>2293.1419999999998</v>
      </c>
      <c r="P184">
        <v>0</v>
      </c>
      <c r="Q184">
        <v>0</v>
      </c>
      <c r="AX184">
        <v>293.18700000000001</v>
      </c>
      <c r="AY184">
        <v>34.9</v>
      </c>
      <c r="AZ184">
        <v>9.7210000000000001</v>
      </c>
      <c r="BA184">
        <v>6.4050000000000002</v>
      </c>
      <c r="BB184">
        <v>12951.839</v>
      </c>
      <c r="BD184">
        <v>204.62</v>
      </c>
      <c r="BE184">
        <v>11.62</v>
      </c>
      <c r="BH184">
        <v>87.201999999999998</v>
      </c>
      <c r="BI184">
        <v>1.3</v>
      </c>
      <c r="BJ184">
        <v>76.2</v>
      </c>
      <c r="BK184">
        <v>0.75900000000000001</v>
      </c>
      <c r="BL184">
        <v>179872</v>
      </c>
    </row>
    <row r="185" spans="1:64" x14ac:dyDescent="0.3">
      <c r="A185" t="s">
        <v>117</v>
      </c>
      <c r="B185" t="s">
        <v>71</v>
      </c>
      <c r="C185" t="s">
        <v>118</v>
      </c>
      <c r="D185" s="1">
        <v>45508</v>
      </c>
      <c r="E185">
        <v>28036</v>
      </c>
      <c r="F185">
        <v>0</v>
      </c>
      <c r="G185">
        <v>0</v>
      </c>
      <c r="H185">
        <v>163</v>
      </c>
      <c r="I185">
        <v>0</v>
      </c>
      <c r="J185">
        <v>0</v>
      </c>
      <c r="K185">
        <f t="shared" si="2"/>
        <v>0.18966200532185926</v>
      </c>
      <c r="L185">
        <v>2037.5730000000001</v>
      </c>
      <c r="M185">
        <v>0</v>
      </c>
      <c r="N185">
        <v>0</v>
      </c>
      <c r="O185">
        <v>11.846</v>
      </c>
      <c r="P185">
        <v>0</v>
      </c>
      <c r="Q185">
        <v>0</v>
      </c>
      <c r="AX185">
        <v>99.11</v>
      </c>
      <c r="AY185">
        <v>18.8</v>
      </c>
      <c r="AZ185">
        <v>3.2440000000000002</v>
      </c>
      <c r="BA185">
        <v>1.9419999999999999</v>
      </c>
      <c r="BB185">
        <v>2064.2359999999999</v>
      </c>
      <c r="BC185">
        <v>49.6</v>
      </c>
      <c r="BD185">
        <v>235.84800000000001</v>
      </c>
      <c r="BE185">
        <v>0.99</v>
      </c>
      <c r="BF185">
        <v>0.6</v>
      </c>
      <c r="BG185">
        <v>12.3</v>
      </c>
      <c r="BH185">
        <v>11.035</v>
      </c>
      <c r="BI185">
        <v>0.5</v>
      </c>
      <c r="BJ185">
        <v>61.77</v>
      </c>
      <c r="BK185">
        <v>0.54500000000000004</v>
      </c>
      <c r="BL185">
        <v>13352864</v>
      </c>
    </row>
    <row r="186" spans="1:64" x14ac:dyDescent="0.3">
      <c r="A186" t="s">
        <v>478</v>
      </c>
      <c r="B186" t="s">
        <v>71</v>
      </c>
      <c r="C186" t="s">
        <v>479</v>
      </c>
      <c r="D186" s="1">
        <v>45508</v>
      </c>
      <c r="E186">
        <v>27334</v>
      </c>
      <c r="F186">
        <v>0</v>
      </c>
      <c r="G186">
        <v>0</v>
      </c>
      <c r="H186">
        <v>1361</v>
      </c>
      <c r="I186">
        <v>0</v>
      </c>
      <c r="J186">
        <v>0</v>
      </c>
      <c r="K186">
        <f t="shared" si="2"/>
        <v>8.078942812626233E-2</v>
      </c>
      <c r="L186">
        <v>1535.4549999999999</v>
      </c>
      <c r="M186">
        <v>0</v>
      </c>
      <c r="N186">
        <v>0</v>
      </c>
      <c r="O186">
        <v>76.453000000000003</v>
      </c>
      <c r="P186">
        <v>0</v>
      </c>
      <c r="Q186">
        <v>0</v>
      </c>
      <c r="AX186">
        <v>23.5</v>
      </c>
      <c r="AY186">
        <v>16.8</v>
      </c>
      <c r="AZ186">
        <v>2.7309999999999999</v>
      </c>
      <c r="BA186">
        <v>1.496</v>
      </c>
      <c r="BD186">
        <v>365.76900000000001</v>
      </c>
      <c r="BE186">
        <v>6.05</v>
      </c>
      <c r="BH186">
        <v>9.8309999999999995</v>
      </c>
      <c r="BI186">
        <v>0.9</v>
      </c>
      <c r="BJ186">
        <v>57.4</v>
      </c>
      <c r="BL186">
        <v>17597508</v>
      </c>
    </row>
    <row r="187" spans="1:64" x14ac:dyDescent="0.3">
      <c r="A187" t="s">
        <v>476</v>
      </c>
      <c r="B187" t="s">
        <v>78</v>
      </c>
      <c r="C187" t="s">
        <v>477</v>
      </c>
      <c r="D187" s="1">
        <v>45508</v>
      </c>
      <c r="E187">
        <v>25954</v>
      </c>
      <c r="F187">
        <v>0</v>
      </c>
      <c r="G187">
        <v>0</v>
      </c>
      <c r="H187">
        <v>199</v>
      </c>
      <c r="I187">
        <v>0</v>
      </c>
      <c r="J187">
        <v>0</v>
      </c>
      <c r="K187">
        <f t="shared" si="2"/>
        <v>2.495936846993267</v>
      </c>
      <c r="L187">
        <v>33228.561999999998</v>
      </c>
      <c r="M187">
        <v>0</v>
      </c>
      <c r="N187">
        <v>0</v>
      </c>
      <c r="O187">
        <v>254.77699999999999</v>
      </c>
      <c r="P187">
        <v>0</v>
      </c>
      <c r="Q187">
        <v>0</v>
      </c>
      <c r="AX187">
        <v>21.841000000000001</v>
      </c>
      <c r="AY187">
        <v>20.8</v>
      </c>
      <c r="AZ187">
        <v>3.5070000000000001</v>
      </c>
      <c r="BA187">
        <v>2.0430000000000001</v>
      </c>
      <c r="BB187">
        <v>2205.9229999999998</v>
      </c>
      <c r="BC187">
        <v>25.1</v>
      </c>
      <c r="BD187">
        <v>459.78</v>
      </c>
      <c r="BE187">
        <v>18.68</v>
      </c>
      <c r="BH187">
        <v>35.89</v>
      </c>
      <c r="BI187">
        <v>1.4</v>
      </c>
      <c r="BJ187">
        <v>73</v>
      </c>
      <c r="BK187">
        <v>0.56699999999999995</v>
      </c>
      <c r="BL187">
        <v>724272</v>
      </c>
    </row>
    <row r="188" spans="1:64" x14ac:dyDescent="0.3">
      <c r="A188" t="s">
        <v>535</v>
      </c>
      <c r="B188" t="s">
        <v>85</v>
      </c>
      <c r="C188" t="s">
        <v>536</v>
      </c>
      <c r="D188" s="1">
        <v>45508</v>
      </c>
      <c r="E188">
        <v>25389</v>
      </c>
      <c r="F188">
        <v>0</v>
      </c>
      <c r="G188">
        <v>0</v>
      </c>
      <c r="H188">
        <v>132</v>
      </c>
      <c r="I188">
        <v>0</v>
      </c>
      <c r="J188">
        <v>0</v>
      </c>
      <c r="K188">
        <f t="shared" si="2"/>
        <v>2.2402460350961828</v>
      </c>
      <c r="L188">
        <v>293443.21999999997</v>
      </c>
      <c r="M188">
        <v>0</v>
      </c>
      <c r="N188">
        <v>0</v>
      </c>
      <c r="O188">
        <v>1525.6410000000001</v>
      </c>
      <c r="P188">
        <v>0</v>
      </c>
      <c r="Q188">
        <v>0</v>
      </c>
      <c r="AX188">
        <v>306.48</v>
      </c>
      <c r="AY188">
        <v>42.2</v>
      </c>
      <c r="AZ188">
        <v>18.600999999999999</v>
      </c>
      <c r="BA188">
        <v>10.798999999999999</v>
      </c>
      <c r="BD188">
        <v>273.67</v>
      </c>
      <c r="BE188">
        <v>12.26</v>
      </c>
      <c r="BJ188">
        <v>80.58</v>
      </c>
      <c r="BL188">
        <v>99479</v>
      </c>
    </row>
    <row r="189" spans="1:64" x14ac:dyDescent="0.3">
      <c r="A189" t="s">
        <v>454</v>
      </c>
      <c r="B189" t="s">
        <v>73</v>
      </c>
      <c r="C189" t="s">
        <v>455</v>
      </c>
      <c r="D189" s="1">
        <v>45508</v>
      </c>
      <c r="E189">
        <v>25292</v>
      </c>
      <c r="F189">
        <v>0</v>
      </c>
      <c r="G189">
        <v>0</v>
      </c>
      <c r="H189">
        <v>126</v>
      </c>
      <c r="I189">
        <v>0</v>
      </c>
      <c r="J189">
        <v>0</v>
      </c>
      <c r="K189">
        <f t="shared" si="2"/>
        <v>0.20462773492838029</v>
      </c>
      <c r="L189">
        <v>741418.25</v>
      </c>
      <c r="M189">
        <v>0</v>
      </c>
      <c r="N189">
        <v>0</v>
      </c>
      <c r="O189">
        <v>3693.6060000000002</v>
      </c>
      <c r="P189">
        <v>0</v>
      </c>
      <c r="Q189">
        <v>0</v>
      </c>
      <c r="AX189">
        <v>556.66700000000003</v>
      </c>
      <c r="BB189">
        <v>56861.47</v>
      </c>
      <c r="BE189">
        <v>5.64</v>
      </c>
      <c r="BI189">
        <v>3.8</v>
      </c>
      <c r="BJ189">
        <v>84.97</v>
      </c>
      <c r="BL189">
        <v>33690</v>
      </c>
    </row>
    <row r="190" spans="1:64" x14ac:dyDescent="0.3">
      <c r="A190" t="s">
        <v>165</v>
      </c>
      <c r="B190" t="s">
        <v>71</v>
      </c>
      <c r="C190" t="s">
        <v>166</v>
      </c>
      <c r="D190" s="1">
        <v>45508</v>
      </c>
      <c r="E190">
        <v>25227</v>
      </c>
      <c r="F190">
        <v>0</v>
      </c>
      <c r="G190">
        <v>0</v>
      </c>
      <c r="H190">
        <v>389</v>
      </c>
      <c r="I190">
        <v>0</v>
      </c>
      <c r="J190">
        <v>0</v>
      </c>
      <c r="K190">
        <f t="shared" si="2"/>
        <v>0.11756481952211489</v>
      </c>
      <c r="L190">
        <v>4180.0420000000004</v>
      </c>
      <c r="M190">
        <v>0</v>
      </c>
      <c r="N190">
        <v>0</v>
      </c>
      <c r="O190">
        <v>64.456000000000003</v>
      </c>
      <c r="P190">
        <v>0</v>
      </c>
      <c r="Q190">
        <v>0</v>
      </c>
      <c r="AX190">
        <v>15.404999999999999</v>
      </c>
      <c r="AY190">
        <v>19</v>
      </c>
      <c r="AZ190">
        <v>3.4020000000000001</v>
      </c>
      <c r="BA190">
        <v>2.0630000000000002</v>
      </c>
      <c r="BB190">
        <v>4881.4059999999999</v>
      </c>
      <c r="BC190">
        <v>37</v>
      </c>
      <c r="BD190">
        <v>344.09399999999999</v>
      </c>
      <c r="BE190">
        <v>7.2</v>
      </c>
      <c r="BF190">
        <v>1.7</v>
      </c>
      <c r="BG190">
        <v>52.3</v>
      </c>
      <c r="BH190">
        <v>47.963999999999999</v>
      </c>
      <c r="BJ190">
        <v>64.569999999999993</v>
      </c>
      <c r="BK190">
        <v>0.57399999999999995</v>
      </c>
      <c r="BL190">
        <v>5970430</v>
      </c>
    </row>
    <row r="191" spans="1:64" x14ac:dyDescent="0.3">
      <c r="A191" t="s">
        <v>193</v>
      </c>
      <c r="B191" t="s">
        <v>68</v>
      </c>
      <c r="C191" t="s">
        <v>194</v>
      </c>
      <c r="D191" s="1">
        <v>45508</v>
      </c>
      <c r="E191">
        <v>23460</v>
      </c>
      <c r="F191">
        <v>0</v>
      </c>
      <c r="G191">
        <v>0</v>
      </c>
      <c r="H191">
        <v>138</v>
      </c>
      <c r="I191">
        <v>0</v>
      </c>
      <c r="J191">
        <v>0</v>
      </c>
      <c r="K191">
        <f t="shared" si="2"/>
        <v>1.3539396341060697</v>
      </c>
      <c r="L191">
        <v>17132.853999999999</v>
      </c>
      <c r="M191">
        <v>0</v>
      </c>
      <c r="N191">
        <v>0</v>
      </c>
      <c r="O191">
        <v>100.78100000000001</v>
      </c>
      <c r="P191">
        <v>0</v>
      </c>
      <c r="Q191">
        <v>0</v>
      </c>
      <c r="AX191">
        <v>87.176000000000002</v>
      </c>
      <c r="AY191">
        <v>18</v>
      </c>
      <c r="AZ191">
        <v>3.556</v>
      </c>
      <c r="BA191">
        <v>1.897</v>
      </c>
      <c r="BB191">
        <v>6570.1019999999999</v>
      </c>
      <c r="BC191">
        <v>30.3</v>
      </c>
      <c r="BD191">
        <v>335.346</v>
      </c>
      <c r="BE191">
        <v>6.86</v>
      </c>
      <c r="BF191">
        <v>6.3</v>
      </c>
      <c r="BG191">
        <v>78.099999999999994</v>
      </c>
      <c r="BH191">
        <v>28.178000000000001</v>
      </c>
      <c r="BI191">
        <v>5.9</v>
      </c>
      <c r="BJ191">
        <v>69.5</v>
      </c>
      <c r="BK191">
        <v>0.60599999999999998</v>
      </c>
      <c r="BL191">
        <v>1341298</v>
      </c>
    </row>
    <row r="192" spans="1:64" x14ac:dyDescent="0.3">
      <c r="A192" t="s">
        <v>139</v>
      </c>
      <c r="B192" t="s">
        <v>71</v>
      </c>
      <c r="C192" t="s">
        <v>140</v>
      </c>
      <c r="D192" s="1">
        <v>45508</v>
      </c>
      <c r="E192">
        <v>22139</v>
      </c>
      <c r="F192">
        <v>0</v>
      </c>
      <c r="G192">
        <v>0</v>
      </c>
      <c r="H192">
        <v>400</v>
      </c>
      <c r="I192">
        <v>0</v>
      </c>
      <c r="J192">
        <v>0</v>
      </c>
      <c r="K192">
        <f t="shared" si="2"/>
        <v>0.58139534883720934</v>
      </c>
      <c r="L192">
        <v>983.56</v>
      </c>
      <c r="M192">
        <v>0</v>
      </c>
      <c r="N192">
        <v>0</v>
      </c>
      <c r="O192">
        <v>17.771000000000001</v>
      </c>
      <c r="P192">
        <v>0</v>
      </c>
      <c r="Q192">
        <v>0</v>
      </c>
      <c r="AX192">
        <v>70.150999999999996</v>
      </c>
      <c r="AY192">
        <v>17.600000000000001</v>
      </c>
      <c r="AZ192">
        <v>2.4089999999999998</v>
      </c>
      <c r="BA192">
        <v>1.3580000000000001</v>
      </c>
      <c r="BB192">
        <v>1703.1020000000001</v>
      </c>
      <c r="BC192">
        <v>43.7</v>
      </c>
      <c r="BD192">
        <v>269.048</v>
      </c>
      <c r="BE192">
        <v>2.42</v>
      </c>
      <c r="BF192">
        <v>1.6</v>
      </c>
      <c r="BG192">
        <v>23.9</v>
      </c>
      <c r="BH192">
        <v>11.877000000000001</v>
      </c>
      <c r="BI192">
        <v>0.4</v>
      </c>
      <c r="BJ192">
        <v>61.58</v>
      </c>
      <c r="BK192">
        <v>0.45200000000000001</v>
      </c>
      <c r="BL192">
        <v>22673764</v>
      </c>
    </row>
    <row r="193" spans="1:64" x14ac:dyDescent="0.3">
      <c r="A193" t="s">
        <v>320</v>
      </c>
      <c r="B193" t="s">
        <v>73</v>
      </c>
      <c r="C193" t="s">
        <v>321</v>
      </c>
      <c r="D193" s="1">
        <v>45508</v>
      </c>
      <c r="E193">
        <v>21588</v>
      </c>
      <c r="F193">
        <v>0</v>
      </c>
      <c r="G193">
        <v>0</v>
      </c>
      <c r="H193">
        <v>89</v>
      </c>
      <c r="I193">
        <v>0</v>
      </c>
      <c r="J193">
        <v>0</v>
      </c>
      <c r="K193">
        <f t="shared" si="2"/>
        <v>4.9791468500768277</v>
      </c>
      <c r="L193">
        <v>548810.25</v>
      </c>
      <c r="M193">
        <v>0</v>
      </c>
      <c r="N193">
        <v>0</v>
      </c>
      <c r="O193">
        <v>2262.558</v>
      </c>
      <c r="P193">
        <v>0</v>
      </c>
      <c r="Q193">
        <v>0</v>
      </c>
      <c r="AX193">
        <v>237.012</v>
      </c>
      <c r="BE193">
        <v>7.77</v>
      </c>
      <c r="BI193">
        <v>2.3969999999999998</v>
      </c>
      <c r="BJ193">
        <v>82.49</v>
      </c>
      <c r="BK193">
        <v>0.91900000000000004</v>
      </c>
      <c r="BL193">
        <v>39355</v>
      </c>
    </row>
    <row r="194" spans="1:64" x14ac:dyDescent="0.3">
      <c r="A194" t="s">
        <v>238</v>
      </c>
      <c r="B194" t="s">
        <v>73</v>
      </c>
      <c r="C194" t="s">
        <v>239</v>
      </c>
      <c r="D194" s="1">
        <v>45508</v>
      </c>
      <c r="E194">
        <v>20550</v>
      </c>
      <c r="F194">
        <v>0</v>
      </c>
      <c r="G194">
        <v>0</v>
      </c>
      <c r="H194">
        <v>113</v>
      </c>
      <c r="I194">
        <v>0</v>
      </c>
      <c r="J194">
        <v>0</v>
      </c>
      <c r="K194">
        <f t="shared" si="2"/>
        <v>0.76674115743238036</v>
      </c>
      <c r="L194">
        <v>546092.30000000005</v>
      </c>
      <c r="M194">
        <v>0</v>
      </c>
      <c r="N194">
        <v>0</v>
      </c>
      <c r="O194">
        <v>3002.8440000000001</v>
      </c>
      <c r="P194">
        <v>0</v>
      </c>
      <c r="Q194">
        <v>0</v>
      </c>
      <c r="AX194">
        <v>3457.1</v>
      </c>
      <c r="BJ194">
        <v>79.930000000000007</v>
      </c>
      <c r="BL194">
        <v>32677</v>
      </c>
    </row>
    <row r="195" spans="1:64" x14ac:dyDescent="0.3">
      <c r="A195" t="s">
        <v>244</v>
      </c>
      <c r="B195" t="s">
        <v>85</v>
      </c>
      <c r="C195" t="s">
        <v>245</v>
      </c>
      <c r="D195" s="1">
        <v>45508</v>
      </c>
      <c r="E195">
        <v>19693</v>
      </c>
      <c r="F195">
        <v>0</v>
      </c>
      <c r="G195">
        <v>0</v>
      </c>
      <c r="H195">
        <v>238</v>
      </c>
      <c r="I195">
        <v>0</v>
      </c>
      <c r="J195">
        <v>0</v>
      </c>
      <c r="K195">
        <f t="shared" si="2"/>
        <v>0.51991019732955213</v>
      </c>
      <c r="L195">
        <v>168419.88</v>
      </c>
      <c r="M195">
        <v>0</v>
      </c>
      <c r="N195">
        <v>0</v>
      </c>
      <c r="O195">
        <v>2035.441</v>
      </c>
      <c r="P195">
        <v>0</v>
      </c>
      <c r="Q195">
        <v>0</v>
      </c>
      <c r="AX195">
        <v>317.13200000000001</v>
      </c>
      <c r="AY195">
        <v>29.4</v>
      </c>
      <c r="AZ195">
        <v>7.3040000000000003</v>
      </c>
      <c r="BA195">
        <v>5.0209999999999999</v>
      </c>
      <c r="BB195">
        <v>13593.877</v>
      </c>
      <c r="BD195">
        <v>243.964</v>
      </c>
      <c r="BE195">
        <v>10.71</v>
      </c>
      <c r="BI195">
        <v>3.7</v>
      </c>
      <c r="BJ195">
        <v>72.400000000000006</v>
      </c>
      <c r="BK195">
        <v>0.77900000000000003</v>
      </c>
      <c r="BL195">
        <v>125459</v>
      </c>
    </row>
    <row r="196" spans="1:64" x14ac:dyDescent="0.3">
      <c r="A196" t="s">
        <v>119</v>
      </c>
      <c r="B196" t="s">
        <v>85</v>
      </c>
      <c r="C196" t="s">
        <v>120</v>
      </c>
      <c r="D196" s="1">
        <v>45508</v>
      </c>
      <c r="E196">
        <v>18860</v>
      </c>
      <c r="F196">
        <v>0</v>
      </c>
      <c r="G196">
        <v>0</v>
      </c>
      <c r="H196">
        <v>165</v>
      </c>
      <c r="I196">
        <v>0</v>
      </c>
      <c r="J196">
        <v>0</v>
      </c>
      <c r="K196">
        <f t="shared" si="2"/>
        <v>0.49818124308081602</v>
      </c>
      <c r="L196">
        <v>291175.2</v>
      </c>
      <c r="M196">
        <v>0</v>
      </c>
      <c r="N196">
        <v>0</v>
      </c>
      <c r="O196">
        <v>2547.3969999999999</v>
      </c>
      <c r="P196">
        <v>0</v>
      </c>
      <c r="Q196">
        <v>0</v>
      </c>
      <c r="AX196">
        <v>1308.82</v>
      </c>
      <c r="BB196">
        <v>50669.315000000002</v>
      </c>
      <c r="BD196">
        <v>139.547</v>
      </c>
      <c r="BE196">
        <v>13</v>
      </c>
      <c r="BJ196">
        <v>82.59</v>
      </c>
      <c r="BL196">
        <v>64207</v>
      </c>
    </row>
    <row r="197" spans="1:64" x14ac:dyDescent="0.3">
      <c r="A197" t="s">
        <v>485</v>
      </c>
      <c r="B197" t="s">
        <v>71</v>
      </c>
      <c r="C197" t="s">
        <v>486</v>
      </c>
      <c r="D197" s="1">
        <v>45508</v>
      </c>
      <c r="E197">
        <v>18823</v>
      </c>
      <c r="F197">
        <v>0</v>
      </c>
      <c r="G197">
        <v>0</v>
      </c>
      <c r="H197">
        <v>147</v>
      </c>
      <c r="I197">
        <v>0</v>
      </c>
      <c r="J197">
        <v>0</v>
      </c>
      <c r="K197">
        <f t="shared" si="2"/>
        <v>1.5419986522376818</v>
      </c>
      <c r="L197">
        <v>1707.894</v>
      </c>
      <c r="M197">
        <v>0</v>
      </c>
      <c r="N197">
        <v>0</v>
      </c>
      <c r="O197">
        <v>13.337999999999999</v>
      </c>
      <c r="P197">
        <v>0</v>
      </c>
      <c r="Q197">
        <v>0</v>
      </c>
      <c r="AY197">
        <v>19.2</v>
      </c>
      <c r="AZ197">
        <v>3.4409999999999998</v>
      </c>
      <c r="BA197">
        <v>2.032</v>
      </c>
      <c r="BB197">
        <v>1569.8879999999999</v>
      </c>
      <c r="BD197">
        <v>280.77499999999998</v>
      </c>
      <c r="BE197">
        <v>10.43</v>
      </c>
      <c r="BJ197">
        <v>57.85</v>
      </c>
      <c r="BK197">
        <v>0.433</v>
      </c>
      <c r="BL197">
        <v>10913172</v>
      </c>
    </row>
    <row r="198" spans="1:64" x14ac:dyDescent="0.3">
      <c r="A198" t="s">
        <v>501</v>
      </c>
      <c r="B198" t="s">
        <v>68</v>
      </c>
      <c r="C198" t="s">
        <v>502</v>
      </c>
      <c r="D198" s="1">
        <v>45508</v>
      </c>
      <c r="E198">
        <v>17786</v>
      </c>
      <c r="F198">
        <v>0</v>
      </c>
      <c r="G198">
        <v>0</v>
      </c>
      <c r="H198">
        <v>125</v>
      </c>
      <c r="I198">
        <v>0</v>
      </c>
      <c r="J198">
        <v>0</v>
      </c>
      <c r="K198">
        <f t="shared" si="2"/>
        <v>0.58823529411764708</v>
      </c>
      <c r="L198">
        <v>1746.769</v>
      </c>
      <c r="M198">
        <v>0</v>
      </c>
      <c r="N198">
        <v>0</v>
      </c>
      <c r="O198">
        <v>12.276</v>
      </c>
      <c r="P198">
        <v>0</v>
      </c>
      <c r="Q198">
        <v>0</v>
      </c>
      <c r="AX198">
        <v>64.281000000000006</v>
      </c>
      <c r="AY198">
        <v>23.3</v>
      </c>
      <c r="AZ198">
        <v>3.4660000000000002</v>
      </c>
      <c r="BA198">
        <v>2.1549999999999998</v>
      </c>
      <c r="BB198">
        <v>2896.913</v>
      </c>
      <c r="BC198">
        <v>4.8</v>
      </c>
      <c r="BD198">
        <v>427.69799999999998</v>
      </c>
      <c r="BE198">
        <v>7.11</v>
      </c>
      <c r="BH198">
        <v>72.703999999999994</v>
      </c>
      <c r="BI198">
        <v>4.8</v>
      </c>
      <c r="BJ198">
        <v>71.099999999999994</v>
      </c>
      <c r="BK198">
        <v>0.66800000000000004</v>
      </c>
      <c r="BL198">
        <v>9952789</v>
      </c>
    </row>
    <row r="199" spans="1:64" x14ac:dyDescent="0.3">
      <c r="A199" t="s">
        <v>358</v>
      </c>
      <c r="B199" t="s">
        <v>73</v>
      </c>
      <c r="C199" t="s">
        <v>359</v>
      </c>
      <c r="D199" s="1">
        <v>45508</v>
      </c>
      <c r="E199">
        <v>17181</v>
      </c>
      <c r="F199">
        <v>0</v>
      </c>
      <c r="G199">
        <v>0</v>
      </c>
      <c r="H199">
        <v>67</v>
      </c>
      <c r="I199">
        <v>0</v>
      </c>
      <c r="J199">
        <v>0</v>
      </c>
      <c r="K199">
        <f t="shared" si="2"/>
        <v>1.8067663399430869</v>
      </c>
      <c r="L199">
        <v>441115.3</v>
      </c>
      <c r="M199">
        <v>0</v>
      </c>
      <c r="N199">
        <v>0</v>
      </c>
      <c r="O199">
        <v>1720.1980000000001</v>
      </c>
      <c r="P199">
        <v>0</v>
      </c>
      <c r="Q199">
        <v>0</v>
      </c>
      <c r="AX199">
        <v>19347.5</v>
      </c>
      <c r="BE199">
        <v>5.46</v>
      </c>
      <c r="BI199">
        <v>13.8</v>
      </c>
      <c r="BJ199">
        <v>86.75</v>
      </c>
      <c r="BL199">
        <v>36491</v>
      </c>
    </row>
    <row r="200" spans="1:64" x14ac:dyDescent="0.3">
      <c r="A200" t="s">
        <v>201</v>
      </c>
      <c r="B200" t="s">
        <v>71</v>
      </c>
      <c r="C200" t="s">
        <v>202</v>
      </c>
      <c r="D200" s="1">
        <v>45508</v>
      </c>
      <c r="E200">
        <v>17130</v>
      </c>
      <c r="F200">
        <v>0</v>
      </c>
      <c r="G200">
        <v>0</v>
      </c>
      <c r="H200">
        <v>183</v>
      </c>
      <c r="I200">
        <v>0</v>
      </c>
      <c r="J200">
        <v>0</v>
      </c>
      <c r="K200">
        <f t="shared" si="2"/>
        <v>0.412266073744673</v>
      </c>
      <c r="L200">
        <v>9497.9349999999995</v>
      </c>
      <c r="M200">
        <v>0</v>
      </c>
      <c r="N200">
        <v>0</v>
      </c>
      <c r="O200">
        <v>101.467</v>
      </c>
      <c r="P200">
        <v>0</v>
      </c>
      <c r="Q200">
        <v>0</v>
      </c>
      <c r="AX200">
        <v>45.194000000000003</v>
      </c>
      <c r="AY200">
        <v>22.4</v>
      </c>
      <c r="AZ200">
        <v>2.8460000000000001</v>
      </c>
      <c r="BA200">
        <v>1.752</v>
      </c>
      <c r="BB200">
        <v>22604.873</v>
      </c>
      <c r="BD200">
        <v>202.81200000000001</v>
      </c>
      <c r="BE200">
        <v>7.78</v>
      </c>
      <c r="BH200">
        <v>24.64</v>
      </c>
      <c r="BI200">
        <v>2.1</v>
      </c>
      <c r="BJ200">
        <v>58.74</v>
      </c>
      <c r="BK200">
        <v>0.59199999999999997</v>
      </c>
      <c r="BL200">
        <v>1674916</v>
      </c>
    </row>
    <row r="201" spans="1:64" x14ac:dyDescent="0.3">
      <c r="A201" t="s">
        <v>452</v>
      </c>
      <c r="B201" t="s">
        <v>78</v>
      </c>
      <c r="C201" t="s">
        <v>453</v>
      </c>
      <c r="D201" s="1">
        <v>45508</v>
      </c>
      <c r="E201">
        <v>17057</v>
      </c>
      <c r="F201">
        <v>0</v>
      </c>
      <c r="G201">
        <v>0</v>
      </c>
      <c r="H201">
        <v>31</v>
      </c>
      <c r="I201">
        <v>0</v>
      </c>
      <c r="J201">
        <v>0</v>
      </c>
      <c r="K201">
        <f t="shared" ref="K201:K264" si="3">(H194/E194)*100</f>
        <v>0.54987834549878345</v>
      </c>
      <c r="L201">
        <v>79235.75</v>
      </c>
      <c r="M201">
        <v>0</v>
      </c>
      <c r="N201">
        <v>0</v>
      </c>
      <c r="O201">
        <v>144.006</v>
      </c>
      <c r="P201">
        <v>0</v>
      </c>
      <c r="Q201">
        <v>0</v>
      </c>
      <c r="AX201">
        <v>69.412999999999997</v>
      </c>
      <c r="AY201">
        <v>22</v>
      </c>
      <c r="AZ201">
        <v>5.6059999999999999</v>
      </c>
      <c r="BA201">
        <v>3.5640000000000001</v>
      </c>
      <c r="BB201">
        <v>6021.5569999999998</v>
      </c>
      <c r="BD201">
        <v>348.97699999999998</v>
      </c>
      <c r="BE201">
        <v>9.2100000000000009</v>
      </c>
      <c r="BF201">
        <v>16.7</v>
      </c>
      <c r="BG201">
        <v>38.1</v>
      </c>
      <c r="BJ201">
        <v>73.319999999999993</v>
      </c>
      <c r="BK201">
        <v>0.71499999999999997</v>
      </c>
      <c r="BL201">
        <v>222390</v>
      </c>
    </row>
    <row r="202" spans="1:64" x14ac:dyDescent="0.3">
      <c r="A202" t="s">
        <v>511</v>
      </c>
      <c r="B202" t="s">
        <v>78</v>
      </c>
      <c r="C202" t="s">
        <v>512</v>
      </c>
      <c r="D202" s="1">
        <v>45508</v>
      </c>
      <c r="E202">
        <v>16976</v>
      </c>
      <c r="F202">
        <v>0</v>
      </c>
      <c r="G202">
        <v>0</v>
      </c>
      <c r="H202">
        <v>12</v>
      </c>
      <c r="I202">
        <v>0</v>
      </c>
      <c r="J202">
        <v>0</v>
      </c>
      <c r="K202">
        <f t="shared" si="3"/>
        <v>1.2085512618696999</v>
      </c>
      <c r="L202">
        <v>161594.62</v>
      </c>
      <c r="M202">
        <v>0</v>
      </c>
      <c r="N202">
        <v>0</v>
      </c>
      <c r="O202">
        <v>114.22799999999999</v>
      </c>
      <c r="P202">
        <v>0</v>
      </c>
      <c r="Q202">
        <v>0</v>
      </c>
      <c r="AX202">
        <v>150.02799999999999</v>
      </c>
      <c r="AY202">
        <v>22.3</v>
      </c>
      <c r="AZ202">
        <v>5.82</v>
      </c>
      <c r="BA202">
        <v>4.032</v>
      </c>
      <c r="BB202">
        <v>5425.6210000000001</v>
      </c>
      <c r="BD202">
        <v>227.49</v>
      </c>
      <c r="BE202">
        <v>15.42</v>
      </c>
      <c r="BF202">
        <v>11.8</v>
      </c>
      <c r="BG202">
        <v>44.4</v>
      </c>
      <c r="BI202">
        <v>2.6</v>
      </c>
      <c r="BJ202">
        <v>70.91</v>
      </c>
      <c r="BK202">
        <v>0.72499999999999998</v>
      </c>
      <c r="BL202">
        <v>106867</v>
      </c>
    </row>
    <row r="203" spans="1:64" x14ac:dyDescent="0.3">
      <c r="A203" t="s">
        <v>342</v>
      </c>
      <c r="B203" t="s">
        <v>78</v>
      </c>
      <c r="C203" t="s">
        <v>343</v>
      </c>
      <c r="D203" s="1">
        <v>45508</v>
      </c>
      <c r="E203">
        <v>16297</v>
      </c>
      <c r="F203">
        <v>0</v>
      </c>
      <c r="G203">
        <v>0</v>
      </c>
      <c r="H203">
        <v>17</v>
      </c>
      <c r="I203">
        <v>0</v>
      </c>
      <c r="J203">
        <v>0</v>
      </c>
      <c r="K203">
        <f t="shared" si="3"/>
        <v>0.87486744432661712</v>
      </c>
      <c r="L203">
        <v>406469.78</v>
      </c>
      <c r="M203">
        <v>0</v>
      </c>
      <c r="N203">
        <v>0</v>
      </c>
      <c r="O203">
        <v>424.00400000000002</v>
      </c>
      <c r="P203">
        <v>0</v>
      </c>
      <c r="Q203">
        <v>0</v>
      </c>
      <c r="AX203">
        <v>295.14999999999998</v>
      </c>
      <c r="BB203">
        <v>3819.2020000000002</v>
      </c>
      <c r="BD203">
        <v>557.79300000000001</v>
      </c>
      <c r="BE203">
        <v>30.53</v>
      </c>
      <c r="BH203">
        <v>82.501999999999995</v>
      </c>
      <c r="BI203">
        <v>2.7</v>
      </c>
      <c r="BJ203">
        <v>73.7</v>
      </c>
      <c r="BK203">
        <v>0.70399999999999996</v>
      </c>
      <c r="BL203">
        <v>41593</v>
      </c>
    </row>
    <row r="204" spans="1:64" x14ac:dyDescent="0.3">
      <c r="A204" t="s">
        <v>384</v>
      </c>
      <c r="B204" t="s">
        <v>85</v>
      </c>
      <c r="C204" t="s">
        <v>385</v>
      </c>
      <c r="D204" s="1">
        <v>45508</v>
      </c>
      <c r="E204">
        <v>16185</v>
      </c>
      <c r="F204">
        <v>2</v>
      </c>
      <c r="G204">
        <v>0.28599999999999998</v>
      </c>
      <c r="H204">
        <v>245</v>
      </c>
      <c r="I204">
        <v>0</v>
      </c>
      <c r="J204">
        <v>0</v>
      </c>
      <c r="K204">
        <f t="shared" si="3"/>
        <v>0.78095946448493858</v>
      </c>
      <c r="L204">
        <v>2404.6669999999999</v>
      </c>
      <c r="M204">
        <v>0.29699999999999999</v>
      </c>
      <c r="N204">
        <v>4.2000000000000003E-2</v>
      </c>
      <c r="O204">
        <v>36.401000000000003</v>
      </c>
      <c r="P204">
        <v>0</v>
      </c>
      <c r="Q204">
        <v>0</v>
      </c>
      <c r="AX204">
        <v>51.667000000000002</v>
      </c>
      <c r="AY204">
        <v>27.3</v>
      </c>
      <c r="AZ204">
        <v>5.4450000000000003</v>
      </c>
      <c r="BA204">
        <v>3.5190000000000001</v>
      </c>
      <c r="BB204">
        <v>5321.4440000000004</v>
      </c>
      <c r="BC204">
        <v>3.2</v>
      </c>
      <c r="BD204">
        <v>137.01599999999999</v>
      </c>
      <c r="BE204">
        <v>11.47</v>
      </c>
      <c r="BI204">
        <v>0.9</v>
      </c>
      <c r="BJ204">
        <v>74.48</v>
      </c>
      <c r="BK204">
        <v>0.66</v>
      </c>
      <c r="BL204">
        <v>6948395</v>
      </c>
    </row>
    <row r="205" spans="1:64" x14ac:dyDescent="0.3">
      <c r="A205" t="s">
        <v>189</v>
      </c>
      <c r="B205" t="s">
        <v>85</v>
      </c>
      <c r="C205" t="s">
        <v>190</v>
      </c>
      <c r="D205" s="1">
        <v>45508</v>
      </c>
      <c r="E205">
        <v>16047</v>
      </c>
      <c r="F205">
        <v>0</v>
      </c>
      <c r="G205">
        <v>0</v>
      </c>
      <c r="H205">
        <v>74</v>
      </c>
      <c r="I205">
        <v>0</v>
      </c>
      <c r="J205">
        <v>0</v>
      </c>
      <c r="K205">
        <f t="shared" si="3"/>
        <v>0.70279995502080284</v>
      </c>
      <c r="L205">
        <v>240044.88</v>
      </c>
      <c r="M205">
        <v>0</v>
      </c>
      <c r="N205">
        <v>0</v>
      </c>
      <c r="O205">
        <v>1106.9559999999999</v>
      </c>
      <c r="P205">
        <v>0</v>
      </c>
      <c r="Q205">
        <v>0</v>
      </c>
      <c r="AX205">
        <v>98.566999999999993</v>
      </c>
      <c r="BB205">
        <v>9673.3670000000002</v>
      </c>
      <c r="BD205">
        <v>227.376</v>
      </c>
      <c r="BE205">
        <v>11.62</v>
      </c>
      <c r="BI205">
        <v>3.8</v>
      </c>
      <c r="BJ205">
        <v>75</v>
      </c>
      <c r="BK205">
        <v>0.74199999999999999</v>
      </c>
      <c r="BL205">
        <v>72758</v>
      </c>
    </row>
    <row r="206" spans="1:64" x14ac:dyDescent="0.3">
      <c r="A206" t="s">
        <v>187</v>
      </c>
      <c r="B206" t="s">
        <v>71</v>
      </c>
      <c r="C206" t="s">
        <v>188</v>
      </c>
      <c r="D206" s="1">
        <v>45508</v>
      </c>
      <c r="E206">
        <v>15690</v>
      </c>
      <c r="F206">
        <v>0</v>
      </c>
      <c r="G206">
        <v>0</v>
      </c>
      <c r="H206">
        <v>189</v>
      </c>
      <c r="I206">
        <v>0</v>
      </c>
      <c r="J206">
        <v>0</v>
      </c>
      <c r="K206">
        <f t="shared" si="3"/>
        <v>0.38996565974041092</v>
      </c>
      <c r="L206">
        <v>13798.259</v>
      </c>
      <c r="M206">
        <v>0</v>
      </c>
      <c r="N206">
        <v>0</v>
      </c>
      <c r="O206">
        <v>166.21199999999999</v>
      </c>
      <c r="P206">
        <v>0</v>
      </c>
      <c r="Q206">
        <v>0</v>
      </c>
      <c r="AX206">
        <v>41.284999999999997</v>
      </c>
      <c r="AY206">
        <v>25.4</v>
      </c>
      <c r="AZ206">
        <v>4.2130000000000001</v>
      </c>
      <c r="BA206">
        <v>2.38</v>
      </c>
      <c r="BB206">
        <v>2705.4059999999999</v>
      </c>
      <c r="BC206">
        <v>22.5</v>
      </c>
      <c r="BD206">
        <v>258.03699999999998</v>
      </c>
      <c r="BE206">
        <v>6.05</v>
      </c>
      <c r="BF206">
        <v>1.7</v>
      </c>
      <c r="BG206">
        <v>24.5</v>
      </c>
      <c r="BI206">
        <v>1.4</v>
      </c>
      <c r="BJ206">
        <v>67.11</v>
      </c>
      <c r="BK206">
        <v>0.52400000000000002</v>
      </c>
      <c r="BL206">
        <v>1120851</v>
      </c>
    </row>
    <row r="207" spans="1:64" x14ac:dyDescent="0.3">
      <c r="A207" t="s">
        <v>153</v>
      </c>
      <c r="B207" t="s">
        <v>71</v>
      </c>
      <c r="C207" t="s">
        <v>154</v>
      </c>
      <c r="D207" s="1">
        <v>45508</v>
      </c>
      <c r="E207">
        <v>15441</v>
      </c>
      <c r="F207">
        <v>0</v>
      </c>
      <c r="G207">
        <v>0</v>
      </c>
      <c r="H207">
        <v>113</v>
      </c>
      <c r="I207">
        <v>0</v>
      </c>
      <c r="J207">
        <v>0</v>
      </c>
      <c r="K207">
        <f t="shared" si="3"/>
        <v>1.0683012259194395</v>
      </c>
      <c r="L207">
        <v>3028.8119999999999</v>
      </c>
      <c r="M207">
        <v>0</v>
      </c>
      <c r="N207">
        <v>0</v>
      </c>
      <c r="O207">
        <v>22.164999999999999</v>
      </c>
      <c r="P207">
        <v>0</v>
      </c>
      <c r="Q207">
        <v>0</v>
      </c>
      <c r="AX207">
        <v>7.4790000000000001</v>
      </c>
      <c r="AY207">
        <v>18.3</v>
      </c>
      <c r="AZ207">
        <v>3.6549999999999998</v>
      </c>
      <c r="BA207">
        <v>2.2509999999999999</v>
      </c>
      <c r="BB207">
        <v>661.24</v>
      </c>
      <c r="BD207">
        <v>435.72699999999998</v>
      </c>
      <c r="BE207">
        <v>6.1</v>
      </c>
      <c r="BH207">
        <v>16.603000000000002</v>
      </c>
      <c r="BI207">
        <v>1</v>
      </c>
      <c r="BJ207">
        <v>53.28</v>
      </c>
      <c r="BK207">
        <v>0.39700000000000002</v>
      </c>
      <c r="BL207">
        <v>5579148</v>
      </c>
    </row>
    <row r="208" spans="1:64" x14ac:dyDescent="0.3">
      <c r="A208" t="s">
        <v>397</v>
      </c>
      <c r="B208" t="s">
        <v>78</v>
      </c>
      <c r="C208" t="s">
        <v>398</v>
      </c>
      <c r="D208" s="1">
        <v>45508</v>
      </c>
      <c r="E208">
        <v>14912</v>
      </c>
      <c r="F208">
        <v>31</v>
      </c>
      <c r="G208">
        <v>4.4290000000000003</v>
      </c>
      <c r="H208">
        <v>41</v>
      </c>
      <c r="I208">
        <v>0</v>
      </c>
      <c r="J208">
        <v>0</v>
      </c>
      <c r="K208">
        <f t="shared" si="3"/>
        <v>0.18174356569150496</v>
      </c>
      <c r="L208">
        <v>323463.7</v>
      </c>
      <c r="M208">
        <v>672.43700000000001</v>
      </c>
      <c r="N208">
        <v>96.061999999999998</v>
      </c>
      <c r="O208">
        <v>889.35199999999998</v>
      </c>
      <c r="P208">
        <v>0</v>
      </c>
      <c r="Q208">
        <v>0</v>
      </c>
      <c r="AX208">
        <v>119.878</v>
      </c>
      <c r="BD208">
        <v>194.994</v>
      </c>
      <c r="BJ208">
        <v>76.739999999999995</v>
      </c>
      <c r="BL208">
        <v>49574</v>
      </c>
    </row>
    <row r="209" spans="1:64" x14ac:dyDescent="0.3">
      <c r="A209" t="s">
        <v>230</v>
      </c>
      <c r="B209" t="s">
        <v>71</v>
      </c>
      <c r="C209" t="s">
        <v>231</v>
      </c>
      <c r="D209" s="1">
        <v>45508</v>
      </c>
      <c r="E209">
        <v>12627</v>
      </c>
      <c r="F209">
        <v>0</v>
      </c>
      <c r="G209">
        <v>0</v>
      </c>
      <c r="H209">
        <v>372</v>
      </c>
      <c r="I209">
        <v>0</v>
      </c>
      <c r="J209">
        <v>0</v>
      </c>
      <c r="K209">
        <f t="shared" si="3"/>
        <v>7.0688030160226206E-2</v>
      </c>
      <c r="L209">
        <v>4789.3530000000001</v>
      </c>
      <c r="M209">
        <v>0</v>
      </c>
      <c r="N209">
        <v>0</v>
      </c>
      <c r="O209">
        <v>141.09800000000001</v>
      </c>
      <c r="P209">
        <v>0</v>
      </c>
      <c r="Q209">
        <v>0</v>
      </c>
      <c r="AX209">
        <v>207.566</v>
      </c>
      <c r="AY209">
        <v>17.5</v>
      </c>
      <c r="AZ209">
        <v>2.339</v>
      </c>
      <c r="BA209">
        <v>1.417</v>
      </c>
      <c r="BB209">
        <v>1561.7670000000001</v>
      </c>
      <c r="BC209">
        <v>10.1</v>
      </c>
      <c r="BD209">
        <v>331.43</v>
      </c>
      <c r="BE209">
        <v>1.91</v>
      </c>
      <c r="BF209">
        <v>0.7</v>
      </c>
      <c r="BG209">
        <v>31.2</v>
      </c>
      <c r="BH209">
        <v>7.8760000000000003</v>
      </c>
      <c r="BI209">
        <v>1.1000000000000001</v>
      </c>
      <c r="BJ209">
        <v>62.05</v>
      </c>
      <c r="BK209">
        <v>0.496</v>
      </c>
      <c r="BL209">
        <v>2705995</v>
      </c>
    </row>
    <row r="210" spans="1:64" x14ac:dyDescent="0.3">
      <c r="A210" t="s">
        <v>446</v>
      </c>
      <c r="B210" t="s">
        <v>85</v>
      </c>
      <c r="C210" t="s">
        <v>447</v>
      </c>
      <c r="D210" s="1">
        <v>45508</v>
      </c>
      <c r="E210">
        <v>12324</v>
      </c>
      <c r="F210">
        <v>0</v>
      </c>
      <c r="G210">
        <v>0</v>
      </c>
      <c r="H210">
        <v>46</v>
      </c>
      <c r="I210">
        <v>0</v>
      </c>
      <c r="J210">
        <v>0</v>
      </c>
      <c r="K210">
        <f t="shared" si="3"/>
        <v>0.10431367736393202</v>
      </c>
      <c r="L210">
        <v>426465.5</v>
      </c>
      <c r="M210">
        <v>0</v>
      </c>
      <c r="N210">
        <v>0</v>
      </c>
      <c r="O210">
        <v>1591.806</v>
      </c>
      <c r="P210">
        <v>0</v>
      </c>
      <c r="Q210">
        <v>0</v>
      </c>
      <c r="AX210">
        <v>590.53300000000002</v>
      </c>
      <c r="BJ210">
        <v>82.08</v>
      </c>
      <c r="BL210">
        <v>31816</v>
      </c>
    </row>
    <row r="211" spans="1:64" x14ac:dyDescent="0.3">
      <c r="A211" t="s">
        <v>543</v>
      </c>
      <c r="B211" t="s">
        <v>78</v>
      </c>
      <c r="C211" t="s">
        <v>544</v>
      </c>
      <c r="D211" s="1">
        <v>45508</v>
      </c>
      <c r="E211">
        <v>12019</v>
      </c>
      <c r="F211">
        <v>0</v>
      </c>
      <c r="G211">
        <v>0</v>
      </c>
      <c r="H211">
        <v>14</v>
      </c>
      <c r="I211">
        <v>0</v>
      </c>
      <c r="J211">
        <v>0</v>
      </c>
      <c r="K211">
        <f t="shared" si="3"/>
        <v>1.5137472968798269</v>
      </c>
      <c r="L211">
        <v>38391.758000000002</v>
      </c>
      <c r="M211">
        <v>0</v>
      </c>
      <c r="N211">
        <v>0</v>
      </c>
      <c r="O211">
        <v>44.72</v>
      </c>
      <c r="P211">
        <v>0</v>
      </c>
      <c r="Q211">
        <v>0</v>
      </c>
      <c r="AX211">
        <v>22.661999999999999</v>
      </c>
      <c r="AY211">
        <v>23.1</v>
      </c>
      <c r="AZ211">
        <v>4.3940000000000001</v>
      </c>
      <c r="BA211">
        <v>2.62</v>
      </c>
      <c r="BB211">
        <v>2921.9090000000001</v>
      </c>
      <c r="BC211">
        <v>13.2</v>
      </c>
      <c r="BD211">
        <v>546.29999999999995</v>
      </c>
      <c r="BE211">
        <v>12.02</v>
      </c>
      <c r="BF211">
        <v>2.8</v>
      </c>
      <c r="BG211">
        <v>34.5</v>
      </c>
      <c r="BH211">
        <v>25.209</v>
      </c>
      <c r="BJ211">
        <v>70.47</v>
      </c>
      <c r="BK211">
        <v>0.60899999999999999</v>
      </c>
      <c r="BL211">
        <v>326744</v>
      </c>
    </row>
    <row r="212" spans="1:64" x14ac:dyDescent="0.3">
      <c r="A212" t="s">
        <v>242</v>
      </c>
      <c r="B212" t="s">
        <v>85</v>
      </c>
      <c r="C212" t="s">
        <v>243</v>
      </c>
      <c r="D212" s="1">
        <v>45508</v>
      </c>
      <c r="E212">
        <v>11971</v>
      </c>
      <c r="F212">
        <v>0</v>
      </c>
      <c r="G212">
        <v>0</v>
      </c>
      <c r="H212">
        <v>21</v>
      </c>
      <c r="I212">
        <v>0</v>
      </c>
      <c r="J212">
        <v>0</v>
      </c>
      <c r="K212">
        <f t="shared" si="3"/>
        <v>0.46114538543029848</v>
      </c>
      <c r="L212">
        <v>213714.42</v>
      </c>
      <c r="M212">
        <v>0</v>
      </c>
      <c r="N212">
        <v>0</v>
      </c>
      <c r="O212">
        <v>374.90600000000001</v>
      </c>
      <c r="P212">
        <v>0</v>
      </c>
      <c r="Q212">
        <v>0</v>
      </c>
      <c r="AX212">
        <v>0.13700000000000001</v>
      </c>
      <c r="BD212">
        <v>199.941</v>
      </c>
      <c r="BE212">
        <v>2.16</v>
      </c>
      <c r="BJ212">
        <v>71.7</v>
      </c>
      <c r="BL212">
        <v>56494</v>
      </c>
    </row>
    <row r="213" spans="1:64" x14ac:dyDescent="0.3">
      <c r="A213" t="s">
        <v>555</v>
      </c>
      <c r="B213" t="s">
        <v>68</v>
      </c>
      <c r="C213" t="s">
        <v>556</v>
      </c>
      <c r="D213" s="1">
        <v>45508</v>
      </c>
      <c r="E213">
        <v>11945</v>
      </c>
      <c r="F213">
        <v>0</v>
      </c>
      <c r="G213">
        <v>0</v>
      </c>
      <c r="H213">
        <v>2159</v>
      </c>
      <c r="I213">
        <v>0</v>
      </c>
      <c r="J213">
        <v>0</v>
      </c>
      <c r="K213">
        <f t="shared" si="3"/>
        <v>1.2045889101338432</v>
      </c>
      <c r="L213">
        <v>312.50900000000001</v>
      </c>
      <c r="M213">
        <v>0</v>
      </c>
      <c r="N213">
        <v>0</v>
      </c>
      <c r="O213">
        <v>56.484000000000002</v>
      </c>
      <c r="P213">
        <v>0</v>
      </c>
      <c r="Q213">
        <v>0</v>
      </c>
      <c r="AX213">
        <v>53.508000000000003</v>
      </c>
      <c r="AY213">
        <v>20.3</v>
      </c>
      <c r="AZ213">
        <v>2.9220000000000002</v>
      </c>
      <c r="BA213">
        <v>1.583</v>
      </c>
      <c r="BB213">
        <v>1479.1469999999999</v>
      </c>
      <c r="BC213">
        <v>18.8</v>
      </c>
      <c r="BD213">
        <v>495.00299999999999</v>
      </c>
      <c r="BE213">
        <v>5.35</v>
      </c>
      <c r="BF213">
        <v>7.6</v>
      </c>
      <c r="BG213">
        <v>29.2</v>
      </c>
      <c r="BH213">
        <v>49.542000000000002</v>
      </c>
      <c r="BI213">
        <v>0.7</v>
      </c>
      <c r="BJ213">
        <v>66.12</v>
      </c>
      <c r="BK213">
        <v>0.47</v>
      </c>
      <c r="BL213">
        <v>33696612</v>
      </c>
    </row>
    <row r="214" spans="1:64" x14ac:dyDescent="0.3">
      <c r="A214" t="s">
        <v>125</v>
      </c>
      <c r="B214" t="s">
        <v>85</v>
      </c>
      <c r="C214" t="s">
        <v>126</v>
      </c>
      <c r="D214" s="1">
        <v>45508</v>
      </c>
      <c r="E214">
        <v>11922</v>
      </c>
      <c r="F214">
        <v>0</v>
      </c>
      <c r="G214">
        <v>0</v>
      </c>
      <c r="H214">
        <v>41</v>
      </c>
      <c r="I214">
        <v>0</v>
      </c>
      <c r="J214">
        <v>0</v>
      </c>
      <c r="K214">
        <f t="shared" si="3"/>
        <v>0.73181788744252319</v>
      </c>
      <c r="L214">
        <v>416067.56</v>
      </c>
      <c r="M214">
        <v>0</v>
      </c>
      <c r="N214">
        <v>0</v>
      </c>
      <c r="O214">
        <v>1430.865</v>
      </c>
      <c r="P214">
        <v>0</v>
      </c>
      <c r="Q214">
        <v>0</v>
      </c>
      <c r="BJ214">
        <v>77.790000000000006</v>
      </c>
      <c r="BL214">
        <v>27052</v>
      </c>
    </row>
    <row r="215" spans="1:64" x14ac:dyDescent="0.3">
      <c r="A215" t="s">
        <v>470</v>
      </c>
      <c r="B215" t="s">
        <v>85</v>
      </c>
      <c r="C215" t="s">
        <v>471</v>
      </c>
      <c r="D215" s="1">
        <v>45508</v>
      </c>
      <c r="E215">
        <v>11051</v>
      </c>
      <c r="F215">
        <v>0</v>
      </c>
      <c r="G215">
        <v>0</v>
      </c>
      <c r="H215">
        <v>92</v>
      </c>
      <c r="I215">
        <v>0</v>
      </c>
      <c r="J215">
        <v>0</v>
      </c>
      <c r="K215">
        <f t="shared" si="3"/>
        <v>0.27494635193133049</v>
      </c>
      <c r="L215">
        <v>262101.84</v>
      </c>
      <c r="M215">
        <v>0</v>
      </c>
      <c r="N215">
        <v>0</v>
      </c>
      <c r="O215">
        <v>2182.0079999999998</v>
      </c>
      <c r="P215">
        <v>0</v>
      </c>
      <c r="Q215">
        <v>0</v>
      </c>
      <c r="AX215">
        <v>1209.088</v>
      </c>
      <c r="BB215">
        <v>36327.232000000004</v>
      </c>
      <c r="BJ215">
        <v>78.95</v>
      </c>
      <c r="BL215">
        <v>44192</v>
      </c>
    </row>
    <row r="216" spans="1:64" x14ac:dyDescent="0.3">
      <c r="A216" t="s">
        <v>203</v>
      </c>
      <c r="B216" t="s">
        <v>71</v>
      </c>
      <c r="C216" t="s">
        <v>204</v>
      </c>
      <c r="D216" s="1">
        <v>45508</v>
      </c>
      <c r="E216">
        <v>10189</v>
      </c>
      <c r="F216">
        <v>0</v>
      </c>
      <c r="G216">
        <v>0</v>
      </c>
      <c r="H216">
        <v>103</v>
      </c>
      <c r="I216">
        <v>0</v>
      </c>
      <c r="J216">
        <v>0</v>
      </c>
      <c r="K216">
        <f t="shared" si="3"/>
        <v>2.9460679496317415</v>
      </c>
      <c r="L216">
        <v>2988.4569999999999</v>
      </c>
      <c r="M216">
        <v>0</v>
      </c>
      <c r="N216">
        <v>0</v>
      </c>
      <c r="O216">
        <v>30.21</v>
      </c>
      <c r="P216">
        <v>0</v>
      </c>
      <c r="Q216">
        <v>0</v>
      </c>
      <c r="AX216">
        <v>44.304000000000002</v>
      </c>
      <c r="AY216">
        <v>19.3</v>
      </c>
      <c r="AZ216">
        <v>3.6070000000000002</v>
      </c>
      <c r="BA216">
        <v>2.1709999999999998</v>
      </c>
      <c r="BB216">
        <v>1510.4590000000001</v>
      </c>
      <c r="BD216">
        <v>311.11</v>
      </c>
      <c r="BE216">
        <v>6.05</v>
      </c>
      <c r="BF216">
        <v>0.2</v>
      </c>
      <c r="BG216">
        <v>11.4</v>
      </c>
      <c r="BI216">
        <v>0.7</v>
      </c>
      <c r="BJ216">
        <v>66.319999999999993</v>
      </c>
      <c r="BK216">
        <v>0.45900000000000002</v>
      </c>
      <c r="BL216">
        <v>3684041</v>
      </c>
    </row>
    <row r="217" spans="1:64" x14ac:dyDescent="0.3">
      <c r="A217" t="s">
        <v>450</v>
      </c>
      <c r="B217" t="s">
        <v>85</v>
      </c>
      <c r="C217" t="s">
        <v>451</v>
      </c>
      <c r="D217" s="1">
        <v>45508</v>
      </c>
      <c r="E217">
        <v>9674</v>
      </c>
      <c r="F217">
        <v>0</v>
      </c>
      <c r="G217">
        <v>0</v>
      </c>
      <c r="H217">
        <v>124</v>
      </c>
      <c r="I217">
        <v>0</v>
      </c>
      <c r="J217">
        <v>0</v>
      </c>
      <c r="K217">
        <f t="shared" si="3"/>
        <v>0.37325543654657578</v>
      </c>
      <c r="L217">
        <v>94785.52</v>
      </c>
      <c r="M217">
        <v>0</v>
      </c>
      <c r="N217">
        <v>0</v>
      </c>
      <c r="O217">
        <v>1214.9480000000001</v>
      </c>
      <c r="P217">
        <v>0</v>
      </c>
      <c r="Q217">
        <v>0</v>
      </c>
      <c r="AX217">
        <v>281.78699999999998</v>
      </c>
      <c r="AY217">
        <v>31.8</v>
      </c>
      <c r="AZ217">
        <v>7.7240000000000002</v>
      </c>
      <c r="BA217">
        <v>4.8319999999999999</v>
      </c>
      <c r="BB217">
        <v>10727.146000000001</v>
      </c>
      <c r="BD217">
        <v>252.67500000000001</v>
      </c>
      <c r="BE217">
        <v>11.62</v>
      </c>
      <c r="BI217">
        <v>2.6</v>
      </c>
      <c r="BJ217">
        <v>72.53</v>
      </c>
      <c r="BK217">
        <v>0.73799999999999999</v>
      </c>
      <c r="BL217">
        <v>103959</v>
      </c>
    </row>
    <row r="218" spans="1:64" x14ac:dyDescent="0.3">
      <c r="A218" t="s">
        <v>256</v>
      </c>
      <c r="B218" t="s">
        <v>71</v>
      </c>
      <c r="C218" t="s">
        <v>257</v>
      </c>
      <c r="D218" s="1">
        <v>45508</v>
      </c>
      <c r="E218">
        <v>9614</v>
      </c>
      <c r="F218">
        <v>0</v>
      </c>
      <c r="G218">
        <v>0</v>
      </c>
      <c r="H218">
        <v>177</v>
      </c>
      <c r="I218">
        <v>0</v>
      </c>
      <c r="J218">
        <v>0</v>
      </c>
      <c r="K218">
        <f t="shared" si="3"/>
        <v>0.11648223645894001</v>
      </c>
      <c r="L218">
        <v>4566.0559999999996</v>
      </c>
      <c r="M218">
        <v>0</v>
      </c>
      <c r="N218">
        <v>0</v>
      </c>
      <c r="O218">
        <v>84.063999999999993</v>
      </c>
      <c r="P218">
        <v>0</v>
      </c>
      <c r="Q218">
        <v>0</v>
      </c>
      <c r="AX218">
        <v>66.191000000000003</v>
      </c>
      <c r="AY218">
        <v>19.399999999999999</v>
      </c>
      <c r="AZ218">
        <v>3.0019999999999998</v>
      </c>
      <c r="BA218">
        <v>1.5649999999999999</v>
      </c>
      <c r="BB218">
        <v>1548.675</v>
      </c>
      <c r="BC218">
        <v>67.099999999999994</v>
      </c>
      <c r="BD218">
        <v>382.47399999999999</v>
      </c>
      <c r="BE218">
        <v>2.42</v>
      </c>
      <c r="BH218">
        <v>6.4029999999999996</v>
      </c>
      <c r="BJ218">
        <v>58.32</v>
      </c>
      <c r="BK218">
        <v>0.48</v>
      </c>
      <c r="BL218">
        <v>2105580</v>
      </c>
    </row>
    <row r="219" spans="1:64" x14ac:dyDescent="0.3">
      <c r="A219" t="s">
        <v>386</v>
      </c>
      <c r="B219" t="s">
        <v>71</v>
      </c>
      <c r="C219" t="s">
        <v>387</v>
      </c>
      <c r="D219" s="1">
        <v>45508</v>
      </c>
      <c r="E219">
        <v>9518</v>
      </c>
      <c r="F219">
        <v>0</v>
      </c>
      <c r="G219">
        <v>0</v>
      </c>
      <c r="H219">
        <v>315</v>
      </c>
      <c r="I219">
        <v>0</v>
      </c>
      <c r="J219">
        <v>0</v>
      </c>
      <c r="K219">
        <f t="shared" si="3"/>
        <v>0.1754239411912121</v>
      </c>
      <c r="L219">
        <v>376.02800000000002</v>
      </c>
      <c r="M219">
        <v>0</v>
      </c>
      <c r="N219">
        <v>0</v>
      </c>
      <c r="O219">
        <v>12.445</v>
      </c>
      <c r="P219">
        <v>0</v>
      </c>
      <c r="Q219">
        <v>0</v>
      </c>
      <c r="AX219">
        <v>16.954999999999998</v>
      </c>
      <c r="AY219">
        <v>15.1</v>
      </c>
      <c r="AZ219">
        <v>2.5529999999999999</v>
      </c>
      <c r="BA219">
        <v>1.3779999999999999</v>
      </c>
      <c r="BB219">
        <v>926</v>
      </c>
      <c r="BC219">
        <v>44.5</v>
      </c>
      <c r="BD219">
        <v>238.339</v>
      </c>
      <c r="BE219">
        <v>2.42</v>
      </c>
      <c r="BF219">
        <v>0.1</v>
      </c>
      <c r="BG219">
        <v>15.4</v>
      </c>
      <c r="BH219">
        <v>8.9779999999999998</v>
      </c>
      <c r="BI219">
        <v>0.3</v>
      </c>
      <c r="BJ219">
        <v>62.42</v>
      </c>
      <c r="BK219">
        <v>0.39400000000000002</v>
      </c>
      <c r="BL219">
        <v>26207982</v>
      </c>
    </row>
    <row r="220" spans="1:64" x14ac:dyDescent="0.3">
      <c r="A220" t="s">
        <v>163</v>
      </c>
      <c r="B220" t="s">
        <v>71</v>
      </c>
      <c r="C220" t="s">
        <v>164</v>
      </c>
      <c r="D220" s="1">
        <v>45508</v>
      </c>
      <c r="E220">
        <v>9109</v>
      </c>
      <c r="F220">
        <v>0</v>
      </c>
      <c r="G220">
        <v>0</v>
      </c>
      <c r="H220">
        <v>160</v>
      </c>
      <c r="I220">
        <v>0</v>
      </c>
      <c r="J220">
        <v>0</v>
      </c>
      <c r="K220">
        <f t="shared" si="3"/>
        <v>18.07450816241105</v>
      </c>
      <c r="L220">
        <v>10919.549000000001</v>
      </c>
      <c r="M220">
        <v>0</v>
      </c>
      <c r="N220">
        <v>0</v>
      </c>
      <c r="O220">
        <v>191.80199999999999</v>
      </c>
      <c r="P220">
        <v>0</v>
      </c>
      <c r="Q220">
        <v>0</v>
      </c>
      <c r="AX220">
        <v>437.35199999999998</v>
      </c>
      <c r="AY220">
        <v>20.399999999999999</v>
      </c>
      <c r="AZ220">
        <v>2.9630000000000001</v>
      </c>
      <c r="BA220">
        <v>1.726</v>
      </c>
      <c r="BB220">
        <v>1413.89</v>
      </c>
      <c r="BC220">
        <v>18.100000000000001</v>
      </c>
      <c r="BD220">
        <v>261.51600000000002</v>
      </c>
      <c r="BE220">
        <v>11.88</v>
      </c>
      <c r="BF220">
        <v>4.4000000000000004</v>
      </c>
      <c r="BG220">
        <v>23.6</v>
      </c>
      <c r="BH220">
        <v>15.574</v>
      </c>
      <c r="BI220">
        <v>2.2000000000000002</v>
      </c>
      <c r="BJ220">
        <v>64.319999999999993</v>
      </c>
      <c r="BK220">
        <v>0.55400000000000005</v>
      </c>
      <c r="BL220">
        <v>836783</v>
      </c>
    </row>
    <row r="221" spans="1:64" x14ac:dyDescent="0.3">
      <c r="A221" t="s">
        <v>87</v>
      </c>
      <c r="B221" t="s">
        <v>85</v>
      </c>
      <c r="C221" t="s">
        <v>88</v>
      </c>
      <c r="D221" s="1">
        <v>45508</v>
      </c>
      <c r="E221">
        <v>9106</v>
      </c>
      <c r="F221">
        <v>0</v>
      </c>
      <c r="G221">
        <v>0</v>
      </c>
      <c r="H221">
        <v>146</v>
      </c>
      <c r="I221">
        <v>0</v>
      </c>
      <c r="J221">
        <v>0</v>
      </c>
      <c r="K221">
        <f t="shared" si="3"/>
        <v>0.34390202986076163</v>
      </c>
      <c r="L221">
        <v>98071.1</v>
      </c>
      <c r="M221">
        <v>0</v>
      </c>
      <c r="N221">
        <v>0</v>
      </c>
      <c r="O221">
        <v>1572.412</v>
      </c>
      <c r="P221">
        <v>0</v>
      </c>
      <c r="Q221">
        <v>0</v>
      </c>
      <c r="AX221">
        <v>231.845</v>
      </c>
      <c r="AY221">
        <v>32.1</v>
      </c>
      <c r="AZ221">
        <v>6.9329999999999998</v>
      </c>
      <c r="BA221">
        <v>4.6310000000000002</v>
      </c>
      <c r="BB221">
        <v>21490.942999999999</v>
      </c>
      <c r="BD221">
        <v>191.511</v>
      </c>
      <c r="BE221">
        <v>13.17</v>
      </c>
      <c r="BI221">
        <v>3.8</v>
      </c>
      <c r="BJ221">
        <v>77.02</v>
      </c>
      <c r="BK221">
        <v>0.77800000000000002</v>
      </c>
      <c r="BL221">
        <v>93772</v>
      </c>
    </row>
    <row r="222" spans="1:64" x14ac:dyDescent="0.3">
      <c r="A222" t="s">
        <v>77</v>
      </c>
      <c r="B222" t="s">
        <v>78</v>
      </c>
      <c r="C222" t="s">
        <v>79</v>
      </c>
      <c r="D222" s="1">
        <v>45508</v>
      </c>
      <c r="E222">
        <v>8359</v>
      </c>
      <c r="F222">
        <v>0</v>
      </c>
      <c r="G222">
        <v>0</v>
      </c>
      <c r="H222">
        <v>34</v>
      </c>
      <c r="I222">
        <v>0</v>
      </c>
      <c r="J222">
        <v>0</v>
      </c>
      <c r="K222">
        <f t="shared" si="3"/>
        <v>0.83250384580580949</v>
      </c>
      <c r="L222">
        <v>172831.6</v>
      </c>
      <c r="M222">
        <v>0</v>
      </c>
      <c r="N222">
        <v>0</v>
      </c>
      <c r="O222">
        <v>702.98800000000006</v>
      </c>
      <c r="P222">
        <v>0</v>
      </c>
      <c r="Q222">
        <v>0</v>
      </c>
      <c r="AX222">
        <v>278.20499999999998</v>
      </c>
      <c r="BD222">
        <v>283.75</v>
      </c>
      <c r="BJ222">
        <v>73.739999999999995</v>
      </c>
      <c r="BL222">
        <v>44295</v>
      </c>
    </row>
    <row r="223" spans="1:64" x14ac:dyDescent="0.3">
      <c r="A223" t="s">
        <v>466</v>
      </c>
      <c r="B223" t="s">
        <v>71</v>
      </c>
      <c r="C223" t="s">
        <v>467</v>
      </c>
      <c r="D223" s="1">
        <v>45508</v>
      </c>
      <c r="E223">
        <v>7979</v>
      </c>
      <c r="F223">
        <v>0</v>
      </c>
      <c r="G223">
        <v>0</v>
      </c>
      <c r="H223">
        <v>125</v>
      </c>
      <c r="I223">
        <v>0</v>
      </c>
      <c r="J223">
        <v>0</v>
      </c>
      <c r="K223">
        <f t="shared" si="3"/>
        <v>1.0108941014819903</v>
      </c>
      <c r="L223">
        <v>964.01900000000001</v>
      </c>
      <c r="M223">
        <v>0</v>
      </c>
      <c r="N223">
        <v>0</v>
      </c>
      <c r="O223">
        <v>15.102</v>
      </c>
      <c r="P223">
        <v>0</v>
      </c>
      <c r="Q223">
        <v>0</v>
      </c>
      <c r="AX223">
        <v>104.7</v>
      </c>
      <c r="AY223">
        <v>19.100000000000001</v>
      </c>
      <c r="AZ223">
        <v>2.5379999999999998</v>
      </c>
      <c r="BA223">
        <v>1.2849999999999999</v>
      </c>
      <c r="BB223">
        <v>1390.3</v>
      </c>
      <c r="BC223">
        <v>52.2</v>
      </c>
      <c r="BD223">
        <v>325.721</v>
      </c>
      <c r="BE223">
        <v>2.42</v>
      </c>
      <c r="BF223">
        <v>8.8000000000000007</v>
      </c>
      <c r="BG223">
        <v>41.3</v>
      </c>
      <c r="BH223">
        <v>19.274999999999999</v>
      </c>
      <c r="BJ223">
        <v>54.7</v>
      </c>
      <c r="BK223">
        <v>0.45200000000000001</v>
      </c>
      <c r="BL223">
        <v>8605723</v>
      </c>
    </row>
    <row r="224" spans="1:64" x14ac:dyDescent="0.3">
      <c r="A224" t="s">
        <v>316</v>
      </c>
      <c r="B224" t="s">
        <v>71</v>
      </c>
      <c r="C224" t="s">
        <v>317</v>
      </c>
      <c r="D224" s="1">
        <v>45508</v>
      </c>
      <c r="E224">
        <v>7930</v>
      </c>
      <c r="F224">
        <v>0</v>
      </c>
      <c r="G224">
        <v>0</v>
      </c>
      <c r="H224">
        <v>294</v>
      </c>
      <c r="I224">
        <v>0</v>
      </c>
      <c r="J224">
        <v>0</v>
      </c>
      <c r="K224">
        <f t="shared" si="3"/>
        <v>1.281786231135001</v>
      </c>
      <c r="L224">
        <v>1475.817</v>
      </c>
      <c r="M224">
        <v>0</v>
      </c>
      <c r="N224">
        <v>0</v>
      </c>
      <c r="O224">
        <v>54.715000000000003</v>
      </c>
      <c r="P224">
        <v>0</v>
      </c>
      <c r="Q224">
        <v>0</v>
      </c>
      <c r="AX224">
        <v>49.127000000000002</v>
      </c>
      <c r="AY224">
        <v>19.2</v>
      </c>
      <c r="AZ224">
        <v>3.0569999999999999</v>
      </c>
      <c r="BA224">
        <v>1.756</v>
      </c>
      <c r="BB224">
        <v>752.78800000000001</v>
      </c>
      <c r="BC224">
        <v>38.6</v>
      </c>
      <c r="BD224">
        <v>272.50900000000001</v>
      </c>
      <c r="BE224">
        <v>2.42</v>
      </c>
      <c r="BF224">
        <v>1.5</v>
      </c>
      <c r="BG224">
        <v>18.100000000000001</v>
      </c>
      <c r="BH224">
        <v>1.1879999999999999</v>
      </c>
      <c r="BI224">
        <v>0.8</v>
      </c>
      <c r="BJ224">
        <v>64.099999999999994</v>
      </c>
      <c r="BK224">
        <v>0.48</v>
      </c>
      <c r="BL224">
        <v>5302690</v>
      </c>
    </row>
    <row r="225" spans="1:64" x14ac:dyDescent="0.3">
      <c r="A225" t="s">
        <v>155</v>
      </c>
      <c r="B225" t="s">
        <v>71</v>
      </c>
      <c r="C225" t="s">
        <v>156</v>
      </c>
      <c r="D225" s="1">
        <v>45508</v>
      </c>
      <c r="E225">
        <v>7702</v>
      </c>
      <c r="F225">
        <v>0</v>
      </c>
      <c r="G225">
        <v>0</v>
      </c>
      <c r="H225">
        <v>194</v>
      </c>
      <c r="I225">
        <v>0</v>
      </c>
      <c r="J225">
        <v>0</v>
      </c>
      <c r="K225">
        <f t="shared" si="3"/>
        <v>1.8410651133763261</v>
      </c>
      <c r="L225">
        <v>417.33199999999999</v>
      </c>
      <c r="M225">
        <v>0</v>
      </c>
      <c r="N225">
        <v>0</v>
      </c>
      <c r="O225">
        <v>10.512</v>
      </c>
      <c r="P225">
        <v>0</v>
      </c>
      <c r="Q225">
        <v>0</v>
      </c>
      <c r="AX225">
        <v>11.833</v>
      </c>
      <c r="AY225">
        <v>16.7</v>
      </c>
      <c r="AZ225">
        <v>2.4860000000000002</v>
      </c>
      <c r="BA225">
        <v>1.446</v>
      </c>
      <c r="BB225">
        <v>1768.153</v>
      </c>
      <c r="BC225">
        <v>38.4</v>
      </c>
      <c r="BD225">
        <v>280.995</v>
      </c>
      <c r="BE225">
        <v>6.1</v>
      </c>
      <c r="BH225">
        <v>5.8179999999999996</v>
      </c>
      <c r="BJ225">
        <v>54.24</v>
      </c>
      <c r="BK225">
        <v>0.39800000000000002</v>
      </c>
      <c r="BL225">
        <v>17723312</v>
      </c>
    </row>
    <row r="226" spans="1:64" x14ac:dyDescent="0.3">
      <c r="A226" t="s">
        <v>133</v>
      </c>
      <c r="B226" t="s">
        <v>85</v>
      </c>
      <c r="C226" t="s">
        <v>134</v>
      </c>
      <c r="D226" s="1">
        <v>45508</v>
      </c>
      <c r="E226">
        <v>7557</v>
      </c>
      <c r="F226">
        <v>0</v>
      </c>
      <c r="G226">
        <v>0</v>
      </c>
      <c r="H226">
        <v>64</v>
      </c>
      <c r="I226">
        <v>0</v>
      </c>
      <c r="J226">
        <v>0</v>
      </c>
      <c r="K226">
        <f t="shared" si="3"/>
        <v>3.3095188064719476</v>
      </c>
      <c r="L226">
        <v>197084.3</v>
      </c>
      <c r="M226">
        <v>0</v>
      </c>
      <c r="N226">
        <v>0</v>
      </c>
      <c r="O226">
        <v>1669.1010000000001</v>
      </c>
      <c r="P226">
        <v>0</v>
      </c>
      <c r="Q226">
        <v>0</v>
      </c>
      <c r="AX226">
        <v>207.97300000000001</v>
      </c>
      <c r="BE226">
        <v>13.67</v>
      </c>
      <c r="BJ226">
        <v>79.069999999999993</v>
      </c>
      <c r="BL226">
        <v>31332</v>
      </c>
    </row>
    <row r="227" spans="1:64" x14ac:dyDescent="0.3">
      <c r="A227" t="s">
        <v>167</v>
      </c>
      <c r="B227" t="s">
        <v>78</v>
      </c>
      <c r="C227" t="s">
        <v>168</v>
      </c>
      <c r="D227" s="1">
        <v>45508</v>
      </c>
      <c r="E227">
        <v>7345</v>
      </c>
      <c r="F227">
        <v>1</v>
      </c>
      <c r="G227">
        <v>0.14299999999999999</v>
      </c>
      <c r="H227">
        <v>2</v>
      </c>
      <c r="I227">
        <v>0</v>
      </c>
      <c r="J227">
        <v>0</v>
      </c>
      <c r="K227">
        <f t="shared" si="3"/>
        <v>1.7565045559336918</v>
      </c>
      <c r="L227">
        <v>498067.4</v>
      </c>
      <c r="M227">
        <v>67.81</v>
      </c>
      <c r="N227">
        <v>9.6869999999999994</v>
      </c>
      <c r="O227">
        <v>135.62100000000001</v>
      </c>
      <c r="P227">
        <v>0</v>
      </c>
      <c r="Q227">
        <v>0</v>
      </c>
      <c r="BJ227">
        <v>76.25</v>
      </c>
      <c r="BL227">
        <v>17032</v>
      </c>
    </row>
    <row r="228" spans="1:64" x14ac:dyDescent="0.3">
      <c r="A228" t="s">
        <v>521</v>
      </c>
      <c r="B228" t="s">
        <v>85</v>
      </c>
      <c r="C228" t="s">
        <v>522</v>
      </c>
      <c r="D228" s="1">
        <v>45508</v>
      </c>
      <c r="E228">
        <v>6805</v>
      </c>
      <c r="F228">
        <v>0</v>
      </c>
      <c r="G228">
        <v>0</v>
      </c>
      <c r="H228">
        <v>40</v>
      </c>
      <c r="I228">
        <v>0</v>
      </c>
      <c r="J228">
        <v>0</v>
      </c>
      <c r="K228">
        <f t="shared" si="3"/>
        <v>1.6033384581594552</v>
      </c>
      <c r="L228">
        <v>148357.28</v>
      </c>
      <c r="M228">
        <v>0</v>
      </c>
      <c r="N228">
        <v>0</v>
      </c>
      <c r="O228">
        <v>872.04899999999998</v>
      </c>
      <c r="P228">
        <v>0</v>
      </c>
      <c r="Q228">
        <v>0</v>
      </c>
      <c r="AX228">
        <v>37.311999999999998</v>
      </c>
      <c r="BJ228">
        <v>80.22</v>
      </c>
      <c r="BL228">
        <v>45726</v>
      </c>
    </row>
    <row r="229" spans="1:64" x14ac:dyDescent="0.3">
      <c r="A229" t="s">
        <v>456</v>
      </c>
      <c r="B229" t="s">
        <v>71</v>
      </c>
      <c r="C229" t="s">
        <v>457</v>
      </c>
      <c r="D229" s="1">
        <v>45508</v>
      </c>
      <c r="E229">
        <v>6771</v>
      </c>
      <c r="F229">
        <v>0</v>
      </c>
      <c r="G229">
        <v>0</v>
      </c>
      <c r="H229">
        <v>80</v>
      </c>
      <c r="I229">
        <v>0</v>
      </c>
      <c r="J229">
        <v>0</v>
      </c>
      <c r="K229">
        <f t="shared" si="3"/>
        <v>0.40674721856681423</v>
      </c>
      <c r="L229">
        <v>29918.74</v>
      </c>
      <c r="M229">
        <v>0</v>
      </c>
      <c r="N229">
        <v>0</v>
      </c>
      <c r="O229">
        <v>353.49299999999999</v>
      </c>
      <c r="P229">
        <v>0</v>
      </c>
      <c r="Q229">
        <v>0</v>
      </c>
      <c r="AX229">
        <v>212.84100000000001</v>
      </c>
      <c r="AY229">
        <v>18.7</v>
      </c>
      <c r="AZ229">
        <v>2.8860000000000001</v>
      </c>
      <c r="BA229">
        <v>2.1619999999999999</v>
      </c>
      <c r="BB229">
        <v>3052.7139999999999</v>
      </c>
      <c r="BC229">
        <v>32.299999999999997</v>
      </c>
      <c r="BD229">
        <v>270.113</v>
      </c>
      <c r="BE229">
        <v>2.42</v>
      </c>
      <c r="BH229">
        <v>41.34</v>
      </c>
      <c r="BI229">
        <v>2.9</v>
      </c>
      <c r="BJ229">
        <v>70.39</v>
      </c>
      <c r="BK229">
        <v>0.625</v>
      </c>
      <c r="BL229">
        <v>227393</v>
      </c>
    </row>
    <row r="230" spans="1:64" x14ac:dyDescent="0.3">
      <c r="A230" t="s">
        <v>442</v>
      </c>
      <c r="B230" t="s">
        <v>85</v>
      </c>
      <c r="C230" t="s">
        <v>443</v>
      </c>
      <c r="D230" s="1">
        <v>45508</v>
      </c>
      <c r="E230">
        <v>6607</v>
      </c>
      <c r="F230">
        <v>0</v>
      </c>
      <c r="G230">
        <v>0</v>
      </c>
      <c r="H230">
        <v>46</v>
      </c>
      <c r="I230">
        <v>0</v>
      </c>
      <c r="J230">
        <v>0</v>
      </c>
      <c r="K230">
        <f t="shared" si="3"/>
        <v>1.5666123574382753</v>
      </c>
      <c r="L230">
        <v>141383.66</v>
      </c>
      <c r="M230">
        <v>0</v>
      </c>
      <c r="N230">
        <v>0</v>
      </c>
      <c r="O230">
        <v>984.35699999999997</v>
      </c>
      <c r="P230">
        <v>0</v>
      </c>
      <c r="Q230">
        <v>0</v>
      </c>
      <c r="AX230">
        <v>212.86500000000001</v>
      </c>
      <c r="BB230">
        <v>24654.384999999998</v>
      </c>
      <c r="BE230">
        <v>12.84</v>
      </c>
      <c r="BI230">
        <v>2.2999999999999998</v>
      </c>
      <c r="BJ230">
        <v>76.23</v>
      </c>
      <c r="BK230">
        <v>0.77900000000000003</v>
      </c>
      <c r="BL230">
        <v>47681</v>
      </c>
    </row>
    <row r="231" spans="1:64" x14ac:dyDescent="0.3">
      <c r="A231" t="s">
        <v>406</v>
      </c>
      <c r="B231" t="s">
        <v>78</v>
      </c>
      <c r="C231" t="s">
        <v>407</v>
      </c>
      <c r="D231" s="1">
        <v>45508</v>
      </c>
      <c r="E231">
        <v>6372</v>
      </c>
      <c r="F231">
        <v>0</v>
      </c>
      <c r="G231">
        <v>0</v>
      </c>
      <c r="H231">
        <v>10</v>
      </c>
      <c r="I231">
        <v>0</v>
      </c>
      <c r="J231">
        <v>0</v>
      </c>
      <c r="K231">
        <f t="shared" si="3"/>
        <v>3.7074401008827236</v>
      </c>
      <c r="L231">
        <v>358299.6</v>
      </c>
      <c r="M231">
        <v>0</v>
      </c>
      <c r="N231">
        <v>0</v>
      </c>
      <c r="O231">
        <v>562.303</v>
      </c>
      <c r="P231">
        <v>0</v>
      </c>
      <c r="Q231">
        <v>0</v>
      </c>
      <c r="AX231">
        <v>47.237000000000002</v>
      </c>
      <c r="BB231">
        <v>13240.405000000001</v>
      </c>
      <c r="BE231">
        <v>15.89</v>
      </c>
      <c r="BF231">
        <v>7.7</v>
      </c>
      <c r="BG231">
        <v>22.7</v>
      </c>
      <c r="BI231">
        <v>4.8</v>
      </c>
      <c r="BJ231">
        <v>73.7</v>
      </c>
      <c r="BK231">
        <v>0.82599999999999996</v>
      </c>
      <c r="BL231">
        <v>18084</v>
      </c>
    </row>
    <row r="232" spans="1:64" x14ac:dyDescent="0.3">
      <c r="A232" t="s">
        <v>438</v>
      </c>
      <c r="B232" t="s">
        <v>85</v>
      </c>
      <c r="C232" t="s">
        <v>439</v>
      </c>
      <c r="D232" s="1">
        <v>45508</v>
      </c>
      <c r="E232">
        <v>5507</v>
      </c>
      <c r="F232">
        <v>0</v>
      </c>
      <c r="G232">
        <v>0</v>
      </c>
      <c r="H232">
        <v>5</v>
      </c>
      <c r="I232">
        <v>0</v>
      </c>
      <c r="J232">
        <v>0</v>
      </c>
      <c r="K232">
        <f t="shared" si="3"/>
        <v>2.5188262788886004</v>
      </c>
      <c r="L232">
        <v>503014.25</v>
      </c>
      <c r="M232">
        <v>0</v>
      </c>
      <c r="N232">
        <v>0</v>
      </c>
      <c r="O232">
        <v>456.70400000000001</v>
      </c>
      <c r="P232">
        <v>0</v>
      </c>
      <c r="Q232">
        <v>0</v>
      </c>
      <c r="BL232">
        <v>10994</v>
      </c>
    </row>
    <row r="233" spans="1:64" x14ac:dyDescent="0.3">
      <c r="A233" t="s">
        <v>374</v>
      </c>
      <c r="B233" t="s">
        <v>78</v>
      </c>
      <c r="C233" t="s">
        <v>375</v>
      </c>
      <c r="D233" s="1">
        <v>45508</v>
      </c>
      <c r="E233">
        <v>5393</v>
      </c>
      <c r="F233">
        <v>0</v>
      </c>
      <c r="G233">
        <v>0</v>
      </c>
      <c r="H233">
        <v>1</v>
      </c>
      <c r="I233">
        <v>0</v>
      </c>
      <c r="J233">
        <v>0</v>
      </c>
      <c r="K233">
        <f t="shared" si="3"/>
        <v>0.84689691676591239</v>
      </c>
      <c r="L233">
        <v>456221.97</v>
      </c>
      <c r="M233">
        <v>0</v>
      </c>
      <c r="N233">
        <v>0</v>
      </c>
      <c r="O233">
        <v>84.594999999999999</v>
      </c>
      <c r="P233">
        <v>0</v>
      </c>
      <c r="Q233">
        <v>0</v>
      </c>
      <c r="AX233">
        <v>682.45</v>
      </c>
      <c r="BB233">
        <v>12895.635</v>
      </c>
      <c r="BE233">
        <v>24.07</v>
      </c>
      <c r="BF233">
        <v>43</v>
      </c>
      <c r="BG233">
        <v>36.9</v>
      </c>
      <c r="BI233">
        <v>5</v>
      </c>
      <c r="BJ233">
        <v>59.96</v>
      </c>
      <c r="BL233">
        <v>12691</v>
      </c>
    </row>
    <row r="234" spans="1:64" x14ac:dyDescent="0.3">
      <c r="A234" t="s">
        <v>300</v>
      </c>
      <c r="B234" t="s">
        <v>78</v>
      </c>
      <c r="C234" t="s">
        <v>301</v>
      </c>
      <c r="D234" s="1">
        <v>45508</v>
      </c>
      <c r="E234">
        <v>5085</v>
      </c>
      <c r="F234">
        <v>0</v>
      </c>
      <c r="G234">
        <v>0</v>
      </c>
      <c r="H234">
        <v>24</v>
      </c>
      <c r="I234">
        <v>0</v>
      </c>
      <c r="J234">
        <v>0</v>
      </c>
      <c r="K234">
        <f t="shared" si="3"/>
        <v>2.7229407760381213E-2</v>
      </c>
      <c r="L234">
        <v>38971.19</v>
      </c>
      <c r="M234">
        <v>0</v>
      </c>
      <c r="N234">
        <v>0</v>
      </c>
      <c r="O234">
        <v>183.935</v>
      </c>
      <c r="P234">
        <v>0</v>
      </c>
      <c r="Q234">
        <v>0</v>
      </c>
      <c r="AX234">
        <v>143.70099999999999</v>
      </c>
      <c r="AY234">
        <v>23.2</v>
      </c>
      <c r="AZ234">
        <v>3.895</v>
      </c>
      <c r="BA234">
        <v>2.21</v>
      </c>
      <c r="BB234">
        <v>1981.1320000000001</v>
      </c>
      <c r="BD234">
        <v>434.65699999999998</v>
      </c>
      <c r="BE234">
        <v>22.66</v>
      </c>
      <c r="BF234">
        <v>35.9</v>
      </c>
      <c r="BG234">
        <v>58.9</v>
      </c>
      <c r="BI234">
        <v>1.9</v>
      </c>
      <c r="BJ234">
        <v>68.37</v>
      </c>
      <c r="BK234">
        <v>0.63</v>
      </c>
      <c r="BL234">
        <v>131237</v>
      </c>
    </row>
    <row r="235" spans="1:64" x14ac:dyDescent="0.3">
      <c r="A235" t="s">
        <v>84</v>
      </c>
      <c r="B235" t="s">
        <v>85</v>
      </c>
      <c r="C235" t="s">
        <v>86</v>
      </c>
      <c r="D235" s="1">
        <v>45508</v>
      </c>
      <c r="E235">
        <v>3904</v>
      </c>
      <c r="F235">
        <v>0</v>
      </c>
      <c r="G235">
        <v>0</v>
      </c>
      <c r="H235">
        <v>12</v>
      </c>
      <c r="I235">
        <v>0</v>
      </c>
      <c r="J235">
        <v>0</v>
      </c>
      <c r="K235">
        <f t="shared" si="3"/>
        <v>0.58780308596620123</v>
      </c>
      <c r="L235">
        <v>274890.88</v>
      </c>
      <c r="M235">
        <v>0</v>
      </c>
      <c r="N235">
        <v>0</v>
      </c>
      <c r="O235">
        <v>844.95100000000002</v>
      </c>
      <c r="P235">
        <v>0</v>
      </c>
      <c r="Q235">
        <v>0</v>
      </c>
      <c r="BJ235">
        <v>81.88</v>
      </c>
      <c r="BL235">
        <v>15877</v>
      </c>
    </row>
    <row r="236" spans="1:64" x14ac:dyDescent="0.3">
      <c r="A236" t="s">
        <v>551</v>
      </c>
      <c r="B236" t="s">
        <v>78</v>
      </c>
      <c r="C236" t="s">
        <v>552</v>
      </c>
      <c r="D236" s="1">
        <v>45508</v>
      </c>
      <c r="E236">
        <v>3760</v>
      </c>
      <c r="F236">
        <v>0</v>
      </c>
      <c r="G236">
        <v>0</v>
      </c>
      <c r="H236">
        <v>9</v>
      </c>
      <c r="I236">
        <v>0</v>
      </c>
      <c r="J236">
        <v>0</v>
      </c>
      <c r="K236">
        <f t="shared" si="3"/>
        <v>1.1815093782306896</v>
      </c>
      <c r="L236">
        <v>326928.09999999998</v>
      </c>
      <c r="M236">
        <v>0</v>
      </c>
      <c r="N236">
        <v>0</v>
      </c>
      <c r="O236">
        <v>782.54100000000005</v>
      </c>
      <c r="P236">
        <v>0</v>
      </c>
      <c r="Q236">
        <v>0</v>
      </c>
      <c r="BJ236">
        <v>79.94</v>
      </c>
      <c r="BL236">
        <v>11596</v>
      </c>
    </row>
    <row r="237" spans="1:64" x14ac:dyDescent="0.3">
      <c r="A237" t="s">
        <v>448</v>
      </c>
      <c r="B237" t="s">
        <v>85</v>
      </c>
      <c r="C237" t="s">
        <v>449</v>
      </c>
      <c r="D237" s="1">
        <v>45508</v>
      </c>
      <c r="E237">
        <v>3426</v>
      </c>
      <c r="F237">
        <v>0</v>
      </c>
      <c r="G237">
        <v>0</v>
      </c>
      <c r="H237">
        <v>2</v>
      </c>
      <c r="I237">
        <v>0</v>
      </c>
      <c r="J237">
        <v>0</v>
      </c>
      <c r="K237">
        <f t="shared" si="3"/>
        <v>0.69623126986529438</v>
      </c>
      <c r="L237">
        <v>594791.69999999995</v>
      </c>
      <c r="M237">
        <v>0</v>
      </c>
      <c r="N237">
        <v>0</v>
      </c>
      <c r="O237">
        <v>347.22199999999998</v>
      </c>
      <c r="P237">
        <v>0</v>
      </c>
      <c r="Q237">
        <v>0</v>
      </c>
      <c r="BJ237">
        <v>81.069999999999993</v>
      </c>
      <c r="BL237">
        <v>5885</v>
      </c>
    </row>
    <row r="238" spans="1:64" x14ac:dyDescent="0.3">
      <c r="A238" t="s">
        <v>523</v>
      </c>
      <c r="B238" t="s">
        <v>78</v>
      </c>
      <c r="C238" t="s">
        <v>524</v>
      </c>
      <c r="D238" s="1">
        <v>45508</v>
      </c>
      <c r="E238">
        <v>2943</v>
      </c>
      <c r="F238">
        <v>0</v>
      </c>
      <c r="G238">
        <v>0</v>
      </c>
      <c r="H238">
        <v>1</v>
      </c>
      <c r="I238">
        <v>0</v>
      </c>
      <c r="J238">
        <v>0</v>
      </c>
      <c r="K238">
        <f t="shared" si="3"/>
        <v>0.15693659761456372</v>
      </c>
      <c r="L238">
        <v>293947.25</v>
      </c>
      <c r="M238">
        <v>0</v>
      </c>
      <c r="N238">
        <v>0</v>
      </c>
      <c r="O238">
        <v>99.88</v>
      </c>
      <c r="P238">
        <v>0</v>
      </c>
      <c r="Q238">
        <v>0</v>
      </c>
      <c r="AX238">
        <v>373.06700000000001</v>
      </c>
      <c r="BB238">
        <v>3575.1039999999998</v>
      </c>
      <c r="BC238">
        <v>3.3</v>
      </c>
      <c r="BE238">
        <v>27.25</v>
      </c>
      <c r="BJ238">
        <v>67.569999999999993</v>
      </c>
      <c r="BL238">
        <v>11335</v>
      </c>
    </row>
    <row r="239" spans="1:64" x14ac:dyDescent="0.3">
      <c r="A239" t="s">
        <v>440</v>
      </c>
      <c r="B239" t="s">
        <v>71</v>
      </c>
      <c r="C239" t="s">
        <v>441</v>
      </c>
      <c r="D239" s="1">
        <v>45508</v>
      </c>
      <c r="E239">
        <v>2166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si="3"/>
        <v>9.0793535500272388E-2</v>
      </c>
      <c r="L239">
        <v>403427.1</v>
      </c>
      <c r="M239">
        <v>0</v>
      </c>
      <c r="N239">
        <v>0</v>
      </c>
      <c r="O239">
        <v>0</v>
      </c>
      <c r="P239">
        <v>0</v>
      </c>
      <c r="Q239">
        <v>0</v>
      </c>
      <c r="BJ239">
        <v>80.56</v>
      </c>
      <c r="BL239">
        <v>5401</v>
      </c>
    </row>
    <row r="240" spans="1:64" x14ac:dyDescent="0.3">
      <c r="A240" t="s">
        <v>214</v>
      </c>
      <c r="B240" t="s">
        <v>90</v>
      </c>
      <c r="C240" t="s">
        <v>215</v>
      </c>
      <c r="D240" s="1">
        <v>45508</v>
      </c>
      <c r="E240">
        <v>1923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f t="shared" si="3"/>
        <v>1.8542555164101613E-2</v>
      </c>
      <c r="L240">
        <v>547083.93999999994</v>
      </c>
      <c r="M240">
        <v>0</v>
      </c>
      <c r="N240">
        <v>0</v>
      </c>
      <c r="O240">
        <v>0</v>
      </c>
      <c r="P240">
        <v>0</v>
      </c>
      <c r="Q240">
        <v>0</v>
      </c>
      <c r="BJ240">
        <v>81.44</v>
      </c>
      <c r="BL240">
        <v>3801</v>
      </c>
    </row>
    <row r="241" spans="1:68" x14ac:dyDescent="0.3">
      <c r="A241" t="s">
        <v>364</v>
      </c>
      <c r="B241" t="s">
        <v>85</v>
      </c>
      <c r="C241" t="s">
        <v>365</v>
      </c>
      <c r="D241" s="1">
        <v>45508</v>
      </c>
      <c r="E241">
        <v>1403</v>
      </c>
      <c r="F241">
        <v>0</v>
      </c>
      <c r="G241">
        <v>0</v>
      </c>
      <c r="H241">
        <v>8</v>
      </c>
      <c r="I241">
        <v>0</v>
      </c>
      <c r="J241">
        <v>0</v>
      </c>
      <c r="K241">
        <f t="shared" si="3"/>
        <v>0.471976401179941</v>
      </c>
      <c r="L241">
        <v>313449.5</v>
      </c>
      <c r="M241">
        <v>0</v>
      </c>
      <c r="N241">
        <v>0</v>
      </c>
      <c r="O241">
        <v>1787.31</v>
      </c>
      <c r="P241">
        <v>0</v>
      </c>
      <c r="Q241">
        <v>0</v>
      </c>
      <c r="BJ241">
        <v>74.16</v>
      </c>
      <c r="BL241">
        <v>4413</v>
      </c>
    </row>
    <row r="242" spans="1:68" x14ac:dyDescent="0.3">
      <c r="A242" t="s">
        <v>390</v>
      </c>
      <c r="B242" t="s">
        <v>78</v>
      </c>
      <c r="C242" t="s">
        <v>391</v>
      </c>
      <c r="D242" s="1">
        <v>45508</v>
      </c>
      <c r="E242">
        <v>1074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3"/>
        <v>0.30737704918032788</v>
      </c>
      <c r="L242">
        <v>582429.5</v>
      </c>
      <c r="M242">
        <v>0</v>
      </c>
      <c r="N242">
        <v>0</v>
      </c>
      <c r="O242">
        <v>0</v>
      </c>
      <c r="P242">
        <v>0</v>
      </c>
      <c r="Q242">
        <v>0</v>
      </c>
      <c r="BJ242">
        <v>73.709999999999994</v>
      </c>
      <c r="BL242">
        <v>1952</v>
      </c>
    </row>
    <row r="243" spans="1:68" x14ac:dyDescent="0.3">
      <c r="A243" t="s">
        <v>509</v>
      </c>
      <c r="B243" t="s">
        <v>78</v>
      </c>
      <c r="C243" t="s">
        <v>510</v>
      </c>
      <c r="D243" s="1">
        <v>45508</v>
      </c>
      <c r="E243">
        <v>80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3"/>
        <v>0.23936170212765956</v>
      </c>
      <c r="L243">
        <v>34602.074000000001</v>
      </c>
      <c r="M243">
        <v>0</v>
      </c>
      <c r="N243">
        <v>0</v>
      </c>
      <c r="O243">
        <v>0</v>
      </c>
      <c r="P243">
        <v>0</v>
      </c>
      <c r="Q243">
        <v>0</v>
      </c>
      <c r="BJ243">
        <v>81.86</v>
      </c>
      <c r="BL243">
        <v>1893</v>
      </c>
    </row>
    <row r="244" spans="1:68" x14ac:dyDescent="0.3">
      <c r="A244" t="s">
        <v>545</v>
      </c>
      <c r="B244" t="s">
        <v>73</v>
      </c>
      <c r="C244" t="s">
        <v>546</v>
      </c>
      <c r="D244" s="1">
        <v>45508</v>
      </c>
      <c r="E244">
        <v>26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3"/>
        <v>5.837711617046118E-2</v>
      </c>
      <c r="L244">
        <v>50682.26</v>
      </c>
      <c r="M244">
        <v>0</v>
      </c>
      <c r="N244">
        <v>0</v>
      </c>
      <c r="O244">
        <v>0</v>
      </c>
      <c r="P244">
        <v>0</v>
      </c>
      <c r="Q244">
        <v>0</v>
      </c>
      <c r="BJ244">
        <v>75.12</v>
      </c>
      <c r="BL244">
        <v>808</v>
      </c>
    </row>
    <row r="245" spans="1:68" x14ac:dyDescent="0.3">
      <c r="A245" t="s">
        <v>420</v>
      </c>
      <c r="B245" t="s">
        <v>78</v>
      </c>
      <c r="C245" t="s">
        <v>421</v>
      </c>
      <c r="D245" s="1">
        <v>45508</v>
      </c>
      <c r="E245">
        <v>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3"/>
        <v>3.3978933061501869E-2</v>
      </c>
      <c r="L245">
        <v>88888.89</v>
      </c>
      <c r="M245">
        <v>0</v>
      </c>
      <c r="N245">
        <v>0</v>
      </c>
      <c r="O245">
        <v>0</v>
      </c>
      <c r="P245">
        <v>0</v>
      </c>
      <c r="Q245">
        <v>0</v>
      </c>
      <c r="BL245">
        <v>47</v>
      </c>
    </row>
    <row r="246" spans="1:68" x14ac:dyDescent="0.3">
      <c r="A246" t="s">
        <v>393</v>
      </c>
      <c r="B246" t="s">
        <v>68</v>
      </c>
      <c r="C246" t="s">
        <v>394</v>
      </c>
      <c r="D246" s="1">
        <v>45508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3"/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AX246">
        <v>211.70099999999999</v>
      </c>
      <c r="AY246">
        <v>35.299999999999997</v>
      </c>
      <c r="AZ246">
        <v>9.4909999999999997</v>
      </c>
      <c r="BA246">
        <v>6.1390000000000002</v>
      </c>
      <c r="BD246">
        <v>321.68099999999998</v>
      </c>
      <c r="BE246">
        <v>4</v>
      </c>
      <c r="BI246">
        <v>13.2</v>
      </c>
      <c r="BJ246">
        <v>72.27</v>
      </c>
      <c r="BL246">
        <v>26069416</v>
      </c>
    </row>
    <row r="247" spans="1:68" x14ac:dyDescent="0.3">
      <c r="A247" t="s">
        <v>519</v>
      </c>
      <c r="B247" t="s">
        <v>68</v>
      </c>
      <c r="C247" t="s">
        <v>520</v>
      </c>
      <c r="D247" s="1">
        <v>45508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3"/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AX247">
        <v>12.253</v>
      </c>
      <c r="AY247">
        <v>26.9</v>
      </c>
      <c r="AZ247">
        <v>4.2770000000000001</v>
      </c>
      <c r="BA247">
        <v>2.5409999999999999</v>
      </c>
      <c r="BB247">
        <v>16389.023000000001</v>
      </c>
      <c r="BD247">
        <v>536.78300000000002</v>
      </c>
      <c r="BE247">
        <v>7.11</v>
      </c>
      <c r="BH247">
        <v>100</v>
      </c>
      <c r="BI247">
        <v>7.4</v>
      </c>
      <c r="BJ247">
        <v>68.19</v>
      </c>
      <c r="BK247">
        <v>0.71499999999999997</v>
      </c>
      <c r="BL247">
        <v>6430777</v>
      </c>
    </row>
    <row r="248" spans="1:68" x14ac:dyDescent="0.3">
      <c r="A248" t="s">
        <v>266</v>
      </c>
      <c r="B248" t="s">
        <v>68</v>
      </c>
      <c r="C248" t="s">
        <v>267</v>
      </c>
      <c r="D248" s="1">
        <v>45514</v>
      </c>
      <c r="K248">
        <f t="shared" si="3"/>
        <v>0.57020669992872419</v>
      </c>
      <c r="AJ248">
        <v>21014839</v>
      </c>
      <c r="AK248">
        <v>6920120</v>
      </c>
      <c r="AL248">
        <v>6803327</v>
      </c>
      <c r="AM248">
        <v>7291392</v>
      </c>
      <c r="AO248">
        <v>189</v>
      </c>
      <c r="AP248">
        <v>280.61</v>
      </c>
      <c r="AQ248">
        <v>92.41</v>
      </c>
      <c r="AR248">
        <v>90.85</v>
      </c>
      <c r="AS248">
        <v>97.36</v>
      </c>
      <c r="AT248">
        <v>25</v>
      </c>
      <c r="AU248">
        <v>5</v>
      </c>
      <c r="AV248">
        <v>0</v>
      </c>
      <c r="AX248">
        <v>7039.7139999999999</v>
      </c>
      <c r="AY248">
        <v>44.8</v>
      </c>
      <c r="AZ248">
        <v>16.303000000000001</v>
      </c>
      <c r="BA248">
        <v>10.157999999999999</v>
      </c>
      <c r="BB248">
        <v>56054.92</v>
      </c>
      <c r="BE248">
        <v>8.33</v>
      </c>
      <c r="BJ248">
        <v>84.86</v>
      </c>
      <c r="BK248">
        <v>0.94899999999999995</v>
      </c>
      <c r="BL248">
        <v>7488863</v>
      </c>
    </row>
    <row r="249" spans="1:68" x14ac:dyDescent="0.3">
      <c r="A249" s="3"/>
      <c r="B249" s="3" t="s">
        <v>561</v>
      </c>
      <c r="C249" s="3" t="e">
        <f>(H248/E248)*100</f>
        <v>#DIV/0!</v>
      </c>
      <c r="D249" s="4"/>
      <c r="E249" s="3"/>
      <c r="F249" s="3"/>
      <c r="G249" s="3"/>
      <c r="H249" s="3"/>
      <c r="I249" s="3"/>
      <c r="J249" s="3"/>
      <c r="K249">
        <f t="shared" si="3"/>
        <v>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</row>
  </sheetData>
  <sortState xmlns:xlrd2="http://schemas.microsoft.com/office/spreadsheetml/2017/richdata2" ref="A9:BP250">
    <sortCondition descending="1" ref="E2:E250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7640-7C15-4296-B768-93474B5F3924}">
  <dimension ref="A1"/>
  <sheetViews>
    <sheetView workbookViewId="0">
      <selection activeCell="Q1" sqref="Q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CEB2-22D6-4D3E-A7A6-915557C0BFDB}">
  <dimension ref="B2:S34"/>
  <sheetViews>
    <sheetView showGridLines="0" tabSelected="1" workbookViewId="0">
      <selection activeCell="Q26" sqref="Q26"/>
    </sheetView>
  </sheetViews>
  <sheetFormatPr defaultRowHeight="14.4" x14ac:dyDescent="0.3"/>
  <sheetData>
    <row r="2" spans="2:19" x14ac:dyDescent="0.3">
      <c r="E2" s="18" t="s">
        <v>563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2:19" x14ac:dyDescent="0.3">
      <c r="B3" s="8"/>
      <c r="C3" s="8"/>
      <c r="D3" s="8"/>
      <c r="E3" s="8"/>
      <c r="F3" s="8"/>
      <c r="G3" s="8"/>
      <c r="H3" s="8"/>
      <c r="I3" s="8"/>
      <c r="J3" s="8"/>
      <c r="L3" s="9" t="s">
        <v>564</v>
      </c>
      <c r="M3" s="7"/>
      <c r="N3" s="7"/>
      <c r="O3" s="7"/>
      <c r="P3" s="7"/>
      <c r="Q3" s="7"/>
      <c r="R3" s="7"/>
      <c r="S3" s="7"/>
    </row>
    <row r="15" spans="2:19" x14ac:dyDescent="0.3">
      <c r="G15" s="6"/>
      <c r="H15" s="6"/>
      <c r="I15" s="6"/>
      <c r="J15" s="6"/>
      <c r="K15" s="6"/>
      <c r="L15" s="6"/>
      <c r="M15" s="6"/>
      <c r="N15" s="6"/>
      <c r="O15" s="6"/>
      <c r="P15" s="6"/>
    </row>
    <row r="25" spans="2:14" ht="18" x14ac:dyDescent="0.35">
      <c r="B25" s="20" t="s">
        <v>565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2"/>
    </row>
    <row r="26" spans="2:14" x14ac:dyDescent="0.3">
      <c r="B26" s="11" t="s">
        <v>566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</row>
    <row r="27" spans="2:14" x14ac:dyDescent="0.3">
      <c r="B27" s="11" t="s">
        <v>567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spans="2:14" x14ac:dyDescent="0.3">
      <c r="B28" s="11" t="s">
        <v>568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</row>
    <row r="29" spans="2:14" x14ac:dyDescent="0.3">
      <c r="B29" s="11" t="s">
        <v>569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x14ac:dyDescent="0.3">
      <c r="B30" s="14" t="s">
        <v>570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/>
    </row>
    <row r="32" spans="2:14" x14ac:dyDescent="0.3">
      <c r="B32" s="17" t="s">
        <v>571</v>
      </c>
      <c r="C32" s="10"/>
      <c r="D32" s="10"/>
      <c r="E32" s="10"/>
    </row>
    <row r="33" spans="2:5" x14ac:dyDescent="0.3">
      <c r="B33" s="10"/>
      <c r="C33" s="10"/>
      <c r="D33" s="10"/>
      <c r="E33" s="10"/>
    </row>
    <row r="34" spans="2:5" x14ac:dyDescent="0.3">
      <c r="B34" s="10"/>
      <c r="C34" s="10"/>
      <c r="D34" s="10"/>
      <c r="E34" s="10"/>
    </row>
  </sheetData>
  <mergeCells count="9">
    <mergeCell ref="B32:E34"/>
    <mergeCell ref="B25:N25"/>
    <mergeCell ref="B26:N26"/>
    <mergeCell ref="B27:N27"/>
    <mergeCell ref="B28:N28"/>
    <mergeCell ref="B29:N29"/>
    <mergeCell ref="B30:N30"/>
    <mergeCell ref="L3:S3"/>
    <mergeCell ref="E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owid-covid-latest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Bheem</dc:creator>
  <cp:lastModifiedBy>bheem singh</cp:lastModifiedBy>
  <dcterms:created xsi:type="dcterms:W3CDTF">2025-11-11T12:01:40Z</dcterms:created>
  <dcterms:modified xsi:type="dcterms:W3CDTF">2025-11-20T18:23:34Z</dcterms:modified>
</cp:coreProperties>
</file>